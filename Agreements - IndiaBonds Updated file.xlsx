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filterPrivacy="1"/>
  <bookViews>
    <workbookView xWindow="0" yWindow="0" windowWidth="14380" windowHeight="4100" tabRatio="807"/>
  </bookViews>
  <sheets>
    <sheet name="External - Live" sheetId="5" r:id="rId1"/>
    <sheet name="NDA" sheetId="7" r:id="rId2"/>
    <sheet name="Distribution " sheetId="1" r:id="rId3"/>
    <sheet name="Internal (Refer only)" sheetId="3" r:id="rId4"/>
    <sheet name="External - Old" sheetId="6" r:id="rId5"/>
    <sheet name="Internal - Old" sheetId="4" r:id="rId6"/>
    <sheet name="Input Sheet" sheetId="2" r:id="rId7"/>
  </sheets>
  <definedNames>
    <definedName name="_xlnm._FilterDatabase" localSheetId="0" hidden="1">'External - Live'!$B$1:$M$68</definedName>
    <definedName name="_xlnm._FilterDatabase" localSheetId="1" hidden="1">NDA!$B$2:$J$55</definedName>
  </definedNames>
  <calcPr calcId="1456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 i="5" l="1"/>
  <c r="B4" i="5" l="1"/>
  <c r="B5" i="5" s="1"/>
  <c r="B6" i="5" s="1"/>
  <c r="B7" i="5" s="1"/>
  <c r="B8" i="5" s="1"/>
  <c r="B9" i="5" s="1"/>
  <c r="B10" i="5" s="1"/>
  <c r="B11" i="5" s="1"/>
  <c r="B12" i="5" s="1"/>
  <c r="B13" i="5" s="1"/>
  <c r="B14" i="5" s="1"/>
  <c r="B15" i="5" s="1"/>
  <c r="B16" i="5" s="1"/>
  <c r="B17" i="5" s="1"/>
  <c r="B18" i="5" l="1"/>
  <c r="B19" i="5" l="1"/>
  <c r="B20" i="5" s="1"/>
  <c r="B21" i="5" s="1"/>
  <c r="B3" i="3"/>
  <c r="B4" i="3" s="1"/>
  <c r="B5" i="3" s="1"/>
  <c r="B6" i="3" s="1"/>
  <c r="B7" i="3" s="1"/>
  <c r="B8" i="3" s="1"/>
  <c r="B9" i="3" s="1"/>
  <c r="B10" i="3" s="1"/>
  <c r="B11" i="3" s="1"/>
  <c r="B12" i="3" s="1"/>
  <c r="B3" i="4"/>
  <c r="B4" i="4" s="1"/>
  <c r="B5" i="4" s="1"/>
  <c r="B6" i="4" s="1"/>
  <c r="B7" i="4" s="1"/>
  <c r="B8" i="4" s="1"/>
  <c r="B9" i="4" s="1"/>
  <c r="B10" i="4" s="1"/>
  <c r="B11" i="4" s="1"/>
  <c r="B12" i="4" s="1"/>
  <c r="B13" i="4" s="1"/>
  <c r="B22" i="5" l="1"/>
  <c r="B23" i="5" s="1"/>
  <c r="B24" i="5" s="1"/>
  <c r="B25" i="5" s="1"/>
  <c r="B26" i="5" s="1"/>
  <c r="B13" i="3"/>
  <c r="B14" i="3" s="1"/>
  <c r="B15" i="3" s="1"/>
  <c r="B3" i="6"/>
  <c r="B4" i="6" s="1"/>
  <c r="B5" i="6" s="1"/>
  <c r="B6" i="6" s="1"/>
  <c r="B7" i="6" s="1"/>
  <c r="B8" i="6" s="1"/>
  <c r="B9" i="6" s="1"/>
  <c r="B10" i="6" s="1"/>
  <c r="B11" i="6" s="1"/>
  <c r="B12" i="6" s="1"/>
  <c r="B13" i="6" s="1"/>
  <c r="B14" i="6" s="1"/>
  <c r="B4" i="7"/>
  <c r="B5" i="7" s="1"/>
  <c r="B6" i="7" s="1"/>
  <c r="B7" i="7" s="1"/>
  <c r="B8" i="7" s="1"/>
  <c r="B9" i="7" s="1"/>
  <c r="B10" i="7" s="1"/>
  <c r="B11" i="7" s="1"/>
  <c r="B12" i="7" s="1"/>
  <c r="B13" i="7" s="1"/>
  <c r="B14" i="7" s="1"/>
  <c r="B15" i="7" s="1"/>
  <c r="B16" i="7" s="1"/>
  <c r="B17" i="7" s="1"/>
  <c r="B18" i="7" s="1"/>
  <c r="B19" i="7" s="1"/>
  <c r="B20" i="7" s="1"/>
  <c r="B21" i="7" s="1"/>
  <c r="B22" i="7" s="1"/>
  <c r="B23" i="7" s="1"/>
  <c r="B24" i="7" s="1"/>
  <c r="B25" i="7" s="1"/>
  <c r="B26" i="7" s="1"/>
  <c r="B27" i="7" s="1"/>
  <c r="B28" i="7" s="1"/>
  <c r="B29" i="7" s="1"/>
  <c r="B30" i="7" s="1"/>
  <c r="B31" i="7" s="1"/>
  <c r="B32" i="7" s="1"/>
  <c r="B33" i="7" s="1"/>
  <c r="B34" i="7" s="1"/>
  <c r="B35" i="7" s="1"/>
  <c r="B36" i="7" s="1"/>
  <c r="B37" i="7" s="1"/>
  <c r="B38" i="7" s="1"/>
  <c r="B4" i="1"/>
  <c r="B5" i="1" s="1"/>
  <c r="B6" i="1" s="1"/>
  <c r="B7" i="1" s="1"/>
  <c r="B8" i="1" s="1"/>
  <c r="B9" i="1" s="1"/>
  <c r="B10" i="1" s="1"/>
  <c r="B27" i="5" l="1"/>
  <c r="B28" i="5" s="1"/>
  <c r="B29" i="5" s="1"/>
  <c r="B30" i="5" s="1"/>
  <c r="B31" i="5" s="1"/>
  <c r="B32" i="5" s="1"/>
  <c r="B33" i="5" s="1"/>
  <c r="B34" i="5" s="1"/>
  <c r="B35" i="5" s="1"/>
  <c r="B36" i="5" s="1"/>
  <c r="B37" i="5" s="1"/>
  <c r="B38" i="5" s="1"/>
  <c r="B39" i="5" s="1"/>
  <c r="B40" i="5" s="1"/>
  <c r="B41" i="5" s="1"/>
  <c r="B42" i="5" s="1"/>
  <c r="B43" i="5" s="1"/>
  <c r="B44" i="5" s="1"/>
  <c r="B45" i="5" s="1"/>
  <c r="B46" i="5" s="1"/>
  <c r="B47" i="5" s="1"/>
  <c r="B48" i="5" s="1"/>
  <c r="B49" i="5" s="1"/>
  <c r="B50" i="5" s="1"/>
  <c r="B51" i="5" s="1"/>
  <c r="B52" i="5" s="1"/>
  <c r="B53" i="5" s="1"/>
  <c r="B54" i="5" s="1"/>
  <c r="B55" i="5" s="1"/>
  <c r="B56" i="5" s="1"/>
  <c r="B57" i="5" s="1"/>
  <c r="B58" i="5" s="1"/>
  <c r="B59" i="5" s="1"/>
  <c r="B60" i="5" s="1"/>
  <c r="B61" i="5" s="1"/>
  <c r="B15" i="6"/>
  <c r="B16" i="6" s="1"/>
  <c r="B17" i="6" s="1"/>
  <c r="B18" i="6" s="1"/>
  <c r="B19" i="6" s="1"/>
  <c r="B20" i="6" s="1"/>
  <c r="B21" i="6" s="1"/>
  <c r="B22" i="6" s="1"/>
  <c r="B23" i="6" s="1"/>
  <c r="B24" i="6" s="1"/>
  <c r="B25" i="6" s="1"/>
  <c r="B26" i="6" s="1"/>
  <c r="B40" i="7"/>
  <c r="B41" i="7" s="1"/>
  <c r="B42" i="7" s="1"/>
  <c r="B43" i="7" s="1"/>
  <c r="B44" i="7" s="1"/>
  <c r="B45" i="7" s="1"/>
  <c r="B46" i="7" s="1"/>
  <c r="B47" i="7" s="1"/>
  <c r="B39" i="7"/>
  <c r="B62" i="5" l="1"/>
  <c r="B63" i="5" s="1"/>
  <c r="B64" i="5" s="1"/>
  <c r="B65" i="5" s="1"/>
  <c r="B66" i="5" s="1"/>
  <c r="B67" i="5" s="1"/>
  <c r="B68" i="5" s="1"/>
  <c r="B69" i="5" s="1"/>
  <c r="B70" i="5" s="1"/>
  <c r="B71" i="5" s="1"/>
  <c r="B72" i="5" s="1"/>
  <c r="B27" i="6"/>
  <c r="B28" i="6" s="1"/>
  <c r="B29" i="6" s="1"/>
  <c r="B30" i="6" s="1"/>
  <c r="B31" i="6" s="1"/>
  <c r="B32" i="6" s="1"/>
  <c r="B33" i="6" s="1"/>
  <c r="B34" i="6" s="1"/>
  <c r="B35" i="6" s="1"/>
  <c r="B36" i="6" s="1"/>
  <c r="B37" i="6" s="1"/>
  <c r="B49" i="7"/>
  <c r="B50" i="7" s="1"/>
  <c r="B48" i="7"/>
  <c r="B73" i="5" l="1"/>
  <c r="B51" i="7"/>
  <c r="B52" i="7" s="1"/>
  <c r="B53" i="7" s="1"/>
  <c r="B54" i="7" s="1"/>
  <c r="B55" i="7" s="1"/>
  <c r="B56" i="7" s="1"/>
  <c r="B57" i="7" s="1"/>
  <c r="B58" i="7" s="1"/>
  <c r="B59" i="7" s="1"/>
  <c r="B60" i="7" s="1"/>
  <c r="B61" i="7" s="1"/>
  <c r="B62" i="7" s="1"/>
  <c r="B63" i="7" s="1"/>
  <c r="B64" i="7" s="1"/>
  <c r="B65" i="7" s="1"/>
  <c r="B66" i="7" s="1"/>
  <c r="B67" i="7" s="1"/>
  <c r="B68" i="7" s="1"/>
  <c r="B69" i="7" s="1"/>
  <c r="B70" i="7" s="1"/>
  <c r="B71" i="7" s="1"/>
  <c r="B72" i="7" s="1"/>
  <c r="B73" i="7" s="1"/>
  <c r="B74" i="7" s="1"/>
  <c r="B75" i="7" s="1"/>
  <c r="B76" i="7" s="1"/>
  <c r="B74" i="5" l="1"/>
  <c r="B75" i="5" s="1"/>
  <c r="B76" i="5" s="1"/>
  <c r="B77" i="5" s="1"/>
  <c r="B78" i="5" s="1"/>
  <c r="B79" i="5" l="1"/>
  <c r="B80" i="5" s="1"/>
  <c r="B81" i="5" s="1"/>
  <c r="B82" i="5" s="1"/>
  <c r="B83" i="5" s="1"/>
  <c r="B84" i="5" s="1"/>
  <c r="B85" i="5" s="1"/>
  <c r="B86" i="5" s="1"/>
  <c r="B87" i="5" l="1"/>
  <c r="B88" i="5" s="1"/>
  <c r="B89" i="5" s="1"/>
  <c r="B90" i="5" s="1"/>
  <c r="B91" i="5" s="1"/>
  <c r="B92" i="5" s="1"/>
  <c r="B93" i="5" s="1"/>
  <c r="B94" i="5" s="1"/>
  <c r="B95" i="5" s="1"/>
  <c r="B96" i="5" s="1"/>
  <c r="B97" i="5" s="1"/>
  <c r="B98" i="5" s="1"/>
  <c r="B99" i="5" s="1"/>
  <c r="B100" i="5" s="1"/>
  <c r="B101" i="5" s="1"/>
  <c r="B102" i="5" s="1"/>
  <c r="B103" i="5" s="1"/>
  <c r="B104" i="5" s="1"/>
  <c r="B105" i="5" s="1"/>
  <c r="B106" i="5" s="1"/>
  <c r="B107" i="5" s="1"/>
  <c r="B108" i="5" s="1"/>
  <c r="B109" i="5" s="1"/>
  <c r="B110" i="5" s="1"/>
</calcChain>
</file>

<file path=xl/sharedStrings.xml><?xml version="1.0" encoding="utf-8"?>
<sst xmlns="http://schemas.openxmlformats.org/spreadsheetml/2006/main" count="2266" uniqueCount="920">
  <si>
    <t>Sr. No.</t>
  </si>
  <si>
    <t xml:space="preserve">Nature of Agreement </t>
  </si>
  <si>
    <t>Date of Agreement</t>
  </si>
  <si>
    <t>A.K. Group Party</t>
  </si>
  <si>
    <t>Name of the counter party</t>
  </si>
  <si>
    <t>Proposed Services</t>
  </si>
  <si>
    <t>Tenure &amp; Termination</t>
  </si>
  <si>
    <t>Consideration involved</t>
  </si>
  <si>
    <t>SLA Involved</t>
  </si>
  <si>
    <t>SLA Extract</t>
  </si>
  <si>
    <t>Primary Contact -           For IB/ AK</t>
  </si>
  <si>
    <t>Primary Contact -                                    For Vendor</t>
  </si>
  <si>
    <t>Remarks</t>
  </si>
  <si>
    <t>Memorandum of Understanding</t>
  </si>
  <si>
    <t>India Bond Private Limited</t>
  </si>
  <si>
    <t>Stockholding Services Limited (SSL) (formerly known as SHCIL Services Limited)</t>
  </si>
  <si>
    <t>To refer its existing and future clients to the Company who wishes to invest in fixed income securities / debt instruments</t>
  </si>
  <si>
    <t>Perpetual 
6 months termination</t>
  </si>
  <si>
    <t>May charge service fees</t>
  </si>
  <si>
    <t>NO</t>
  </si>
  <si>
    <t>NA</t>
  </si>
  <si>
    <t>Harit Oberoi</t>
  </si>
  <si>
    <t>Vinay Kumar Singh
Head – Business Development</t>
  </si>
  <si>
    <t>Distribution Agreement</t>
  </si>
  <si>
    <t>SBICAP Securities Limited</t>
  </si>
  <si>
    <t>Obligation to distribute Company's Products via. Application Programming Interface (API)</t>
  </si>
  <si>
    <t>Perpetual
(With 30 days termination)</t>
  </si>
  <si>
    <t>At the sole discretion of India Bond.</t>
  </si>
  <si>
    <t>Anand Sonawane
Vice President</t>
  </si>
  <si>
    <t>Ranjan</t>
  </si>
  <si>
    <t xml:space="preserve">Axion Tech Systems Private Limited </t>
  </si>
  <si>
    <t>Ratnakar Securities Private Limited</t>
  </si>
  <si>
    <t>Valuefloat Technologies Private Limited</t>
  </si>
  <si>
    <t xml:space="preserve">HDFC Securities Limited </t>
  </si>
  <si>
    <t>One Club Ventures Private Limited</t>
  </si>
  <si>
    <t>RKSV Securities India Private Limited</t>
  </si>
  <si>
    <t>Name of the Distributor</t>
  </si>
  <si>
    <t>Status</t>
  </si>
  <si>
    <t>Active</t>
  </si>
  <si>
    <t>Terminated</t>
  </si>
  <si>
    <t>Expired</t>
  </si>
  <si>
    <t>Singed by both the parties</t>
  </si>
  <si>
    <t>Non-Disclosure Agreement
(Disclosing)</t>
  </si>
  <si>
    <t>THEM Consulting Pvt. Ltd.</t>
  </si>
  <si>
    <t>Perpetual</t>
  </si>
  <si>
    <t>Counter Party Signed</t>
  </si>
  <si>
    <t>MobiTrail</t>
  </si>
  <si>
    <t>Monsoonfish</t>
  </si>
  <si>
    <t>NeoSOFT Technologies</t>
  </si>
  <si>
    <t>UCID Pvt. Ltd.</t>
  </si>
  <si>
    <t>Extant Consulting Private Limited</t>
  </si>
  <si>
    <t>Digital Vibe</t>
  </si>
  <si>
    <t>Digital Dwarves Private Limited</t>
  </si>
  <si>
    <t>Fractal Ink Design Studio Pvt. Ltd.</t>
  </si>
  <si>
    <t>iRealities Technology Private Limited</t>
  </si>
  <si>
    <t>IC Legal</t>
  </si>
  <si>
    <t>Counter Party Signed (wrongly signed in place of disclosing party)</t>
  </si>
  <si>
    <t>Futuready Services Private Limited</t>
  </si>
  <si>
    <t>Logicserve Digital Private Limited</t>
  </si>
  <si>
    <t>12 Months
(With 30 days termination)</t>
  </si>
  <si>
    <t>Skillmine Technology Consulting Pvt Ltd.</t>
  </si>
  <si>
    <t>Poised Media Pvt. Ltd.</t>
  </si>
  <si>
    <t>North Star Consulting</t>
  </si>
  <si>
    <t>Non-Disclosure Agreement
(Mutual)</t>
  </si>
  <si>
    <t>Synergy Technology Services Private Limited</t>
  </si>
  <si>
    <t>2 Years
(With 30 days termination)</t>
  </si>
  <si>
    <t>Signed by Both the Parties</t>
  </si>
  <si>
    <t>SlashRTC Software Services Private Limited (Truecaller)</t>
  </si>
  <si>
    <t>Snapwork Technologies Private Limited</t>
  </si>
  <si>
    <t>Codewave Technologies Private Limited</t>
  </si>
  <si>
    <t>Blostem Fintech Private Limited</t>
  </si>
  <si>
    <t>One year</t>
  </si>
  <si>
    <t>Purple Petal Invest Private Limited</t>
  </si>
  <si>
    <t>Axion Tech Systems Private Limited</t>
  </si>
  <si>
    <t>9Platforms Technology Private Limited</t>
  </si>
  <si>
    <t>Cybertryzub Infosec Pvt. Ltd and North Star Consulting</t>
  </si>
  <si>
    <t>Non-Disclosure Agreement</t>
  </si>
  <si>
    <t xml:space="preserve">Northeast Broking Services Limited </t>
  </si>
  <si>
    <t>Non-Disclosure Agreement (Disclosing)</t>
  </si>
  <si>
    <t>Greater Pacific Capital Management Ltd</t>
  </si>
  <si>
    <t>Bessemer Venture Partners Management Co. Ltd</t>
  </si>
  <si>
    <t>Tata Digital Private Limited</t>
  </si>
  <si>
    <t>Botomatic Private Limited (Onepixll)</t>
  </si>
  <si>
    <t>Ujjivan Small Finance Bank Limited</t>
  </si>
  <si>
    <t>2 years or until execution of definitive
agreement</t>
  </si>
  <si>
    <t xml:space="preserve">Unity Small Finance Bank Limited </t>
  </si>
  <si>
    <t>1 years or from effective date</t>
  </si>
  <si>
    <t>TVS Capital Funds (P) Limited</t>
  </si>
  <si>
    <t>SafeGold DigiDemat Private Limited</t>
  </si>
  <si>
    <t xml:space="preserve">DCB Bank Limited </t>
  </si>
  <si>
    <t>1 (one) year from effective date unless terminated earlier</t>
  </si>
  <si>
    <t>1Thing Design &amp; Innovation Private Limited</t>
  </si>
  <si>
    <t>Fixerra Private Limited</t>
  </si>
  <si>
    <t>3 year from date of Agreement</t>
  </si>
  <si>
    <t xml:space="preserve">Reliance Financial Limited </t>
  </si>
  <si>
    <t xml:space="preserve">Perpetual (Termination with 30 days notice </t>
  </si>
  <si>
    <t>Designcoz Private Limited</t>
  </si>
  <si>
    <t>1 year from date of Agreement</t>
  </si>
  <si>
    <t>Cholamandalam Securities Limited</t>
  </si>
  <si>
    <t>Draft NDA shared with Sunny</t>
  </si>
  <si>
    <t>Minds Creative Solutions Private Limited</t>
  </si>
  <si>
    <t xml:space="preserve">PNB Housing Finance Limited </t>
  </si>
  <si>
    <t>signed by IndiaBonds</t>
  </si>
  <si>
    <t>Oxyzen Buddy</t>
  </si>
  <si>
    <t>1 (one) year;
2 (two) year survival after termination</t>
  </si>
  <si>
    <t>Findoc Investmart Private Limited</t>
  </si>
  <si>
    <t>NDX P2P PRIVATE LIMITED</t>
  </si>
  <si>
    <t>MINDFINNESS ENTERPRISES PRIVATE LIMITED</t>
  </si>
  <si>
    <t>Software License Agreement</t>
  </si>
  <si>
    <t>A. K. Capital Services Limited
A. K. Capital Finance Limited
A. K. Stockmart Private Limited
A. K. Wealth Management Private Limited</t>
  </si>
  <si>
    <t>To provide Licenses of the Software(s) developed by the Service Provider</t>
  </si>
  <si>
    <t>Perpetual (Termination with 30 days notice)</t>
  </si>
  <si>
    <t>AKCSL, AKCFL &amp; AKSMPL -INR 5 Lacs
AKWMPL - INR 3 Lacs</t>
  </si>
  <si>
    <t>Mahesh Bhootra
Ranjit Dutta</t>
  </si>
  <si>
    <t>Aditi Mittal</t>
  </si>
  <si>
    <t>Group Entity</t>
  </si>
  <si>
    <t>License Fees w.r.t. to AKCFL &amp; AKSMPL increased to INR 10 Lacs &amp; INR 7.50 Lacs respectively vide Addendum dated 01.04. 2021.
License Fees modified as follows vide Second Addendum dated 20.04.2022 (effective 01.04.2022):
AKCSL: INR 5.50 Lacs
AKCFL: INR 11 Lacs
AKSMPL: INR 8.25 Lacs 
AKWMPL: INR 3.30 Lacs</t>
  </si>
  <si>
    <t>Service Agreement</t>
  </si>
  <si>
    <t>Them Consulting Private Limited</t>
  </si>
  <si>
    <t>MVP Design</t>
  </si>
  <si>
    <t>Six Months
(With 30 days termination)</t>
  </si>
  <si>
    <t>INR 6,00,000</t>
  </si>
  <si>
    <t>Agreement stands Terminated</t>
  </si>
  <si>
    <t>The said Agreement was terminated vide Contract Termination Letter dated 21.10.2021</t>
  </si>
  <si>
    <t>A. K. Capital Finance Limited</t>
  </si>
  <si>
    <t>Designing of Online KYC Screen (Web as well as Mobile)</t>
  </si>
  <si>
    <t>INR 1,26,000/-</t>
  </si>
  <si>
    <t xml:space="preserve"> Agreement Term has expired</t>
  </si>
  <si>
    <t>Website Design Service Agreement</t>
  </si>
  <si>
    <t>Website Design</t>
  </si>
  <si>
    <t>One Year
(With 30 days termination)</t>
  </si>
  <si>
    <t>INR 2,00,000</t>
  </si>
  <si>
    <t>A.K. Capital Services Limited</t>
  </si>
  <si>
    <t xml:space="preserve">i) Advisory on Digital Driven Sales     
ii) Consultancy on Multi-Channel On-boarding of Clients                             
iii) Counselling on digital selling and restructuring offering                       
iv) Advising the Client for creating thin and sharable digital Store fronts           </t>
  </si>
  <si>
    <t>INR 7,00,000</t>
  </si>
  <si>
    <t>A.K. Capital Finance Limited</t>
  </si>
  <si>
    <t>Software Consultancy, cyber security training, end-to-end Product Engineering, defining the right IoT landscape and other IT services</t>
  </si>
  <si>
    <t>INR 5,50,000/-</t>
  </si>
  <si>
    <t>To design/ develop E-KYC Software</t>
  </si>
  <si>
    <t>INR 4,00,000/-</t>
  </si>
  <si>
    <t>YES</t>
  </si>
  <si>
    <t xml:space="preserve">A. K. Capital Services Limited                                   India Bond Private Limited          A. K. Capital Finance Limited   </t>
  </si>
  <si>
    <t>Target Integration Consultancy Private Limited</t>
  </si>
  <si>
    <t xml:space="preserve">Consultancy Services for the BRD and scoping document </t>
  </si>
  <si>
    <t>INR 1,200/- per hour</t>
  </si>
  <si>
    <t>A. K. Capital Services Limited</t>
  </si>
  <si>
    <t>Poised Media Private Limited</t>
  </si>
  <si>
    <t>Marketing Strategy, Planning, Ideation, Campaign Ideas</t>
  </si>
  <si>
    <t>Monthly Retainer fee of          INR 52,000/-</t>
  </si>
  <si>
    <t>Neha Jhadav / 
Harit Oberoi</t>
  </si>
  <si>
    <t>Jay Thadeshwar, Director
jay@thepoised.in
9768886779</t>
  </si>
  <si>
    <t xml:space="preserve">Clause 15 -Termiantion, 17 -Liability and Indemnification amended and a new Clause 18- Cybersecurity Incident or Data Breach Notification inserted and a new Clause-Client Approval of Materials  added in   Schedule A vide Addendum Agreement dated July 1, 2022.
The said agreements were terminated vide Discontinuation of the Service Agreement Letter dated November 15, 2022.
</t>
  </si>
  <si>
    <t>Digital Marketing Services</t>
  </si>
  <si>
    <t>Monthly Retainer fee of        INR 26,000/‐</t>
  </si>
  <si>
    <t>Jay Thadeshwar - Director
Saurabh Kothari - Group Account Head &amp; Strategist
Rohit Srinivasan - Senior Account Manager &amp; Main Point of Contact
Renu Gangani/ Ashok Moplipara - Account Managers
Mehul Vaze/ Bhavesh Prajapati - Sr. Graphics Visualizer
Vinayak Padkil/ Bhavesh Ajgaonkar Motion Graphics Artist
Dhruv Thadeshwar - Social Selling Head</t>
  </si>
  <si>
    <t>Clause 15 -Termiantion, 17 -Liability and Indemnification amended and a new Clause 18- Cybersecurity Incident or Data Breach Notification inserted and a new Clause-Client Approval of Materials  added in   Schedule A vide Addendum Agreement dated July 1, 2022.
The said agreements were terminated vide Discontinuation of the Service Agreement Letter dated November 15, 2022.</t>
  </si>
  <si>
    <t xml:space="preserve">India Bond Private Limited          A. K. Capital Services Limited      A. K. Capital Finance Limited   </t>
  </si>
  <si>
    <t>VoiceGate Technologies India Private Limited</t>
  </si>
  <si>
    <t>Cloud based customer experience platform                           Administrator License upto 5/15 users</t>
  </si>
  <si>
    <t>INR 2,87,880/- per year</t>
  </si>
  <si>
    <t>Monthly Retainer fee of INR 52,000/-</t>
  </si>
  <si>
    <t>Monthly Retainer fee of INR 26,000/‐</t>
  </si>
  <si>
    <t>MASTER SUBSCRIPTION AGREEMENT</t>
  </si>
  <si>
    <t xml:space="preserve">A. K. Capital Services Limited (Subscriber changed to India Bond Private Limited vide letter dated March 15, 2023) </t>
  </si>
  <si>
    <t>Zoho Technologies Private Limited</t>
  </si>
  <si>
    <t xml:space="preserve">License to use Zoho CRM Plus-5 users service
</t>
  </si>
  <si>
    <t>INR  1,35,000/-</t>
  </si>
  <si>
    <t>Swapnil Khairnar</t>
  </si>
  <si>
    <t xml:space="preserve">Hitesh Dudani
hitesh.d@zohocorp.com
7021038089
</t>
  </si>
  <si>
    <t>Subscriber changed to India Bond Private Limited vide letter dated March 15, 2023</t>
  </si>
  <si>
    <t>Referral Service Agreement</t>
  </si>
  <si>
    <t xml:space="preserve">Availability of platform for accessing various financial products </t>
  </si>
  <si>
    <t>Perpetual
(With 60 days termination)</t>
  </si>
  <si>
    <t xml:space="preserve">Fixed Fee (AMC) -INR 2,00,000/-                      Variable Fee-0.10% of the Value for transaction executed </t>
  </si>
  <si>
    <t>Mahesh Bhootra</t>
  </si>
  <si>
    <t>Variable Fees altered vide Addendum dated 20.04.2022 as follows:
- If Issuer is Private Corporate: 0.50% of the Value for transaction
- If Issuer is other than Private Corporate (i.e. PSU’s, SLU’s, etc.): 0.20% of the Value for transaction</t>
  </si>
  <si>
    <t>A. K. Stockmart Private Limited</t>
  </si>
  <si>
    <t>Ranjit Dutta</t>
  </si>
  <si>
    <t>Master Service Agreement</t>
  </si>
  <si>
    <t>National Securities Depositories Limited (NSDL)</t>
  </si>
  <si>
    <t>Perpetual
(With 90 days termination)</t>
  </si>
  <si>
    <t>ANURAG TRIPATHI
AnuragT@nsdl.co.in
9833816198
Rahul Pratap Singh
singhr@nsdl.co.in</t>
  </si>
  <si>
    <t xml:space="preserve">Master Services Agreement </t>
  </si>
  <si>
    <t>PayCollectSolutions Private Limited</t>
  </si>
  <si>
    <t>To render Software Development Services to deliver one or more work products.</t>
  </si>
  <si>
    <t xml:space="preserve">Till the completion of Services (including warranty period and support/ maintenance services.)
</t>
  </si>
  <si>
    <t>-</t>
  </si>
  <si>
    <t xml:space="preserve"> Ashit Raja</t>
  </si>
  <si>
    <t>Alok Mehta - Director
alok.mehta@paycollectsolutions.com
9930139500</t>
  </si>
  <si>
    <t>Work Statement AK002</t>
  </si>
  <si>
    <t>To perform changes in the original specification and product in the Gold Bond Bidding platform.</t>
  </si>
  <si>
    <t>Auto Renewed till 31.03.2022 (with          30 days notice)</t>
  </si>
  <si>
    <t>Production Support -                INR 10,000/-
Dev. Resource - INR 12,500/-</t>
  </si>
  <si>
    <t>Service Agreement                       (Push SMS Agreement)</t>
  </si>
  <si>
    <t xml:space="preserve">India Bond Private Limited          A. K. Capital Services Limited     A. K. Capital Finance Limited   </t>
  </si>
  <si>
    <t>ACL Mobile Limited</t>
  </si>
  <si>
    <t>Push SMS Services</t>
  </si>
  <si>
    <t>One Time Charge: Rs Nil.          Per Push Message Charge:       Rs. 0.105/- per SMS submitted to Mobile Operator SMSC</t>
  </si>
  <si>
    <t>To avail Push SMS services with respect to mobile subscribers residing outside India for the countries as mentioned in the Addendum dated May 26, 2022 (effective May 5, 2022).</t>
  </si>
  <si>
    <t>Services Agreement
(effective date 17-Feb-21)</t>
  </si>
  <si>
    <t>To conduct for VAPT (Vulnerability Assessment and Penetration Testing) in connection with the India Bonds Portal developed by the Client.</t>
  </si>
  <si>
    <t>One Year - renewal with sole discretion of Client</t>
  </si>
  <si>
    <t>INR 65,000/-</t>
  </si>
  <si>
    <t>Tejas Dawda/ 
Ashit Raja</t>
  </si>
  <si>
    <t>Manish Ashar
manish@northstarconsulting.in
9322288726</t>
  </si>
  <si>
    <t>Merchant Service Agreement</t>
  </si>
  <si>
    <t>Atom Technologies Limited</t>
  </si>
  <si>
    <t xml:space="preserve">To avail multiple payment facilities over multiple
channels such as Internet, IVR and Mobile using credit/debit card, net banking, loyalty, prepaid cards,
wallets, IMPS, POS MPOS, QR, UPI, Mobile Application. </t>
  </si>
  <si>
    <t>One Year -with automatic renewal for 12 months
(With 90 days termination)</t>
  </si>
  <si>
    <t xml:space="preserve">One Time Set Up
commercials -Rs. 100,000+GST
AMC-Rs. 10,000 + GST
Net Banking-Rs. 8/- + GST
UPI Transaction Cost-As per RBI- NIL
</t>
  </si>
  <si>
    <t>Shrutika Bhongale
shrutika.bhongale@atomtech.in
8657594127
Navpreet Kaur
navpreet.kaur@atomtech.in
9167396647</t>
  </si>
  <si>
    <t xml:space="preserve">The name of Atom Technologies has been changed to NTT DATA Payment Services India Limited.
Clause 4.2 of the Original Agreement amended w.r.t. to mutual consent for change in fees (as against the advance notice of 30 days) vide Addendum No. 1 dated 10/08/2022.
</t>
  </si>
  <si>
    <t>Master Services Agreement</t>
  </si>
  <si>
    <t>Digiotech Solutions Private Limited</t>
  </si>
  <si>
    <t>eSign and Document generation
OCR and ID Validations Aadhar Masking API</t>
  </si>
  <si>
    <t>As per Annexure II</t>
  </si>
  <si>
    <t xml:space="preserve">Hitesh Sharma/ 
Ashit Raja </t>
  </si>
  <si>
    <t>Swati Sharma
swati@digio.in
8310765410
Abhay Singh Puri
abhay@digio.in
9914601050</t>
  </si>
  <si>
    <t>Baldor Technologies Private Limited (IDfy)</t>
  </si>
  <si>
    <t>Authentication Services as described in Annexure I</t>
  </si>
  <si>
    <t>One time setup fees-               INR 50,000
Quarterly subscription plan-   INR 30,000 (Basic)
Quarterly API calls-INR 24,000 (Basic)</t>
  </si>
  <si>
    <t>Pratidnya Thakur
pratidnya.thakur@idfy.com
7045797807
Rebecca Saldhana
rebecca.saldhana@idfy.com
9820899542</t>
  </si>
  <si>
    <t>Work Statement AK001</t>
  </si>
  <si>
    <t>To build a Gold Bond Bidding Platform</t>
  </si>
  <si>
    <t>09-08-2021 to 31.12.2021</t>
  </si>
  <si>
    <t>INR  2,60,000/-</t>
  </si>
  <si>
    <t>Agreement for e-Sign Services</t>
  </si>
  <si>
    <t>A.K. Stockmart Private Limited</t>
  </si>
  <si>
    <t>NSDL e-Governance Infrastructure Ltd.</t>
  </si>
  <si>
    <t>To obtain e-Sign electronic Online Signature services</t>
  </si>
  <si>
    <t>Term: 21/09/2021 to 31/03/2024
30 days termination</t>
  </si>
  <si>
    <t>E-Signing Per e-KYC - Rs.5
UIDAI charges per e-KYC - Rs.3 (Refundable)</t>
  </si>
  <si>
    <t xml:space="preserve">Ashit Raja
</t>
  </si>
  <si>
    <t>Mr. Ankush Deshpande
Vice President</t>
  </si>
  <si>
    <t>Leo9 Studio</t>
  </si>
  <si>
    <t xml:space="preserve">To avail UI and UX Design Services and HTML development for its website i.e. www.indiabonds.com </t>
  </si>
  <si>
    <t>On discharge of obligation
(With 30 days termination)</t>
  </si>
  <si>
    <t>INR 3,60,000/-</t>
  </si>
  <si>
    <t xml:space="preserve">Sunny Mirchandani </t>
  </si>
  <si>
    <t xml:space="preserve">Ketan Patel
ketan@leo9studio.com
7208149788
Anjali Gajjar 
account@leo9studio.com
9930256369
</t>
  </si>
  <si>
    <t>Consulting Service Agreement</t>
  </si>
  <si>
    <t>S. Krishnakumar</t>
  </si>
  <si>
    <t xml:space="preserve">To render consulting services with regard to building new features and scaling up Indiabonds.com
</t>
  </si>
  <si>
    <t>12 Months  - renewal with sole discretion of Client
(With 30 days termination)</t>
  </si>
  <si>
    <t>INR 14,000 per man-day + applicable GST.                             (1 man-day shall comprise of     8 hours)</t>
  </si>
  <si>
    <t>Terminated w.e.f. March 3, 2022</t>
  </si>
  <si>
    <t>To revamp the existing KYC application process</t>
  </si>
  <si>
    <t>On the discharge of the respective obligations (With 5 days termination)</t>
  </si>
  <si>
    <t xml:space="preserve">INR 2,60,000/-             (Additional Development effort: 750/hr) </t>
  </si>
  <si>
    <t>Chitra Karumarathillam
chitra.karumarathillam@sts.in
9923238525
Ajay Lulia - Director &amp; CTO
E-mail: Ajay.lulia@sts.in</t>
  </si>
  <si>
    <t>The fees for the proposed services was reduced from INR 2,60,000/- to                 INR 2,31,000/- for all the services as mentioned in the proposal as one package vide First Amendment Agreement dated July 26, 2022.</t>
  </si>
  <si>
    <t>Extension Letter-Renewal</t>
  </si>
  <si>
    <t>One Year
(With 60 days termination)</t>
  </si>
  <si>
    <t>Clause 15 -Termiantion, 17 -Liability and Indemnification amended and a new Clause 18- Cybersecurity Incident or Data Breach Notification inserted and a new Clause-Client Approval of Materials  added in   Schedule A vide Addendum Agreement dated July 1, 2022.
The said agreements were terminated vide Discontinuation of the Service Agreement Letter dated November 15, 2022.</t>
  </si>
  <si>
    <t>Staff Augmentation Project</t>
  </si>
  <si>
    <t>Deputation of Python Developer into Client’s premise</t>
  </si>
  <si>
    <t>90 days from the date of submission                   (one month prior notice before off boarding the resource)</t>
  </si>
  <si>
    <t>Monthly Cost for the deputation -                     INR 1,00,000        (excluding
taxes)</t>
  </si>
  <si>
    <t>The said Agreement stands terminated vide Contract Expiry Letter dated 17.08.2022</t>
  </si>
  <si>
    <t>To avail Contact Center Solutions, Voicebots, Chatbots and Conversation IVR</t>
  </si>
  <si>
    <t>One Year</t>
  </si>
  <si>
    <t xml:space="preserve">INR 15,000 </t>
  </si>
  <si>
    <t>Ismail Naushad Ali
ismail.a@slashrtc.com
7021957461
Ismail Shaikh
ismail.s@slashrtc.com</t>
  </si>
  <si>
    <t>The Agreement stands terminated vide Termination Letter dated August 23, 2022.</t>
  </si>
  <si>
    <t>Agreement (MOU)</t>
  </si>
  <si>
    <t>BSE Investors Protection Fund</t>
  </si>
  <si>
    <t>To conduct Investor Awareness Programs (IAPs) / webinars / physical webinar jointly with BSE IPF</t>
  </si>
  <si>
    <t>12 months</t>
  </si>
  <si>
    <t>The term of the Agreement is further extended for One Year upto                  March 31, 2024 vide Addendum dated    9th March, 2023.</t>
  </si>
  <si>
    <t>Ravindra Palande - Dy Gen Manager BSE-IPF
ravindra.palande@bseindia.com
9819377857
Khushro Bulsara - Head IPF
khushro.bulsara@bseindia.com</t>
  </si>
  <si>
    <t>Karza Technologies Private Limited</t>
  </si>
  <si>
    <t>Perpetual (Termination with 2 months notice)</t>
  </si>
  <si>
    <t>NTT DATA Payment Services India Limited</t>
  </si>
  <si>
    <t>To verify the bank details furnished by its business associates, counterparties,
customers during the registration process</t>
  </si>
  <si>
    <t>One (01) year (with automatic renewal for successive twelve (12) months) 60 days termination</t>
  </si>
  <si>
    <t xml:space="preserve">One Time Set Up commercials - Rs. 25,000 [+] GST
Transaction cost of Penny Drop - Re. 1/- per transaction </t>
  </si>
  <si>
    <t>Clause 4.2 of the Original Agreement amended w.r.t. to mutual consent for change in fees (as against the advance notice of 30 days) vide Addendum No. 1 dated 10/08/2022.</t>
  </si>
  <si>
    <t>Aditya Sharma
aditya.s@karza.in
9324764465
Shankar Krishnamoorthy
shankar.k@karza.in
9821570282</t>
  </si>
  <si>
    <t>A. K. Wealth Management Private Limited</t>
  </si>
  <si>
    <t xml:space="preserve">Fixed Fee (AMC) -           INR 50,000/-                      </t>
  </si>
  <si>
    <t>Agreement for Organic Search Marketing (SEO)</t>
  </si>
  <si>
    <t>Puretech Internet Private Limited</t>
  </si>
  <si>
    <t>To avail Services of Organic Search Marketing (“SEO”)</t>
  </si>
  <si>
    <t>36 (Thirty Six) Months (with automatic renewal upon mutual agreement)
30 days termination</t>
  </si>
  <si>
    <t>Monthly retainer fees of INR 1,00,000/-</t>
  </si>
  <si>
    <t>Prashant Deorah
prashant.deorah@puretech.com
Vinay Pillai
vinay.pillai@puretech.com
9029840855</t>
  </si>
  <si>
    <t>Digitalimpulse Online Private Limited (SixPL)</t>
  </si>
  <si>
    <t>To write themed articles, brief summary and other informative write ups etc. on the bond market prevailing in India or globally</t>
  </si>
  <si>
    <t>3 Months (with automatic renewal upon mutual agreement)
30 days termination</t>
  </si>
  <si>
    <t>INR 15,000/- average per Month (in India) excluding taxes</t>
  </si>
  <si>
    <t>Harit Oberoi/ Neha Jadhav/ Anushri Thakur</t>
  </si>
  <si>
    <t xml:space="preserve">Saket Kumar Singh - Director
Saket@sixpl.com
</t>
  </si>
  <si>
    <t>Service Arrangement</t>
  </si>
  <si>
    <t>Jio Haptik Technologies Limited</t>
  </si>
  <si>
    <t>Whatsapp business service</t>
  </si>
  <si>
    <t xml:space="preserve">Advance Payment made for monthly subscription: INR 2,500/-
Conversation rate(s): 
Business Initiated:         INR 0.4843 
User Initiated: 0.2906
</t>
  </si>
  <si>
    <t xml:space="preserve">Prateek Garimella
Sales &amp; Growth
</t>
  </si>
  <si>
    <t>RAZORPAY SOFTWARE PRIVATE LIMITED</t>
  </si>
  <si>
    <t>Payment gateway aggregation and developing and implementing
payment related solutions</t>
  </si>
  <si>
    <t>Perpetual (SOF-Start Date untill Terminated)
90 days termination</t>
  </si>
  <si>
    <t>As specified in Annexure II -Fees</t>
  </si>
  <si>
    <t>Atul Mehta
SVP Sales</t>
  </si>
  <si>
    <t>Pepper Content Global Private Limited</t>
  </si>
  <si>
    <t>Minimum INR 1.80 per word (in India) excluding taxes for a minimum of 15000 words</t>
  </si>
  <si>
    <t>Anirudh Singla - Director 
anirudh@peppercontent.in</t>
  </si>
  <si>
    <t>Resource Partnership Agreement</t>
  </si>
  <si>
    <t>Scrabble Advisors Private Limited</t>
  </si>
  <si>
    <t>To introduce candidates to the Client who will be considered by the Client for Engagement for employment, hire or other use, directly or indirectly,
and whether under a contract of service or contract for services or otherwise, and on a permanent,
temporary or other basis</t>
  </si>
  <si>
    <t>12 months
(With 1 month termination)</t>
  </si>
  <si>
    <t>One-time fees of 15% of Annual Fixed Pay (including Guaranteed, joining and
conditional bonus) exclusive of GST</t>
  </si>
  <si>
    <t>Mr. Mihir More, AVP- HR</t>
  </si>
  <si>
    <t>Mr. Naveen Tiwari, Co-founder</t>
  </si>
  <si>
    <t>To Design UX and UI for the portfolio upload and other necessary screens required to complete the portfolio flow</t>
  </si>
  <si>
    <t>Term: Six Months
30 days termination</t>
  </si>
  <si>
    <t>INR 80,000/-</t>
  </si>
  <si>
    <t xml:space="preserve">Sunny Mirchandani
</t>
  </si>
  <si>
    <t>Aditya Bhatnagar
Product Design</t>
  </si>
  <si>
    <t>Proposal for Providing Software Services</t>
  </si>
  <si>
    <t xml:space="preserve">A. K. Capital Finance Limited
</t>
  </si>
  <si>
    <t>To develop a Master Security Service Module encompassing all the relevant information of corporate debt instruments issued by various issuers from time to time.</t>
  </si>
  <si>
    <t>One-time License Fees: INR 25,00,000/-
Annual Maintenance Cost: INR 2,50,000/-</t>
  </si>
  <si>
    <t>Set-up to be completed on or before 31st August, 2023.</t>
  </si>
  <si>
    <t xml:space="preserve">A. K. Capital Services Limited
</t>
  </si>
  <si>
    <t>One-time License Fees: INR 15,00,000/-
Annual Maintenance Cost: INR 1,50,000/-</t>
  </si>
  <si>
    <t xml:space="preserve">A. K. Stockmart Private Limited
</t>
  </si>
  <si>
    <t>One-time License Fees: INR 10,00,000/-
Annual Maintenance Cost: INR 1,00,000/-</t>
  </si>
  <si>
    <t>Prashant Roongta</t>
  </si>
  <si>
    <t>Proposal for development of Website and provision of AMC services</t>
  </si>
  <si>
    <t>To develop website maintainance Agreement</t>
  </si>
  <si>
    <t>One-time License Fees: INR 5,00,000/-
Annual Maintenance Cost: As mutually agreed</t>
  </si>
  <si>
    <t>No</t>
  </si>
  <si>
    <t>Concept Public Relations India Limited</t>
  </si>
  <si>
    <t>To avail public relations services for promotion of the brand India Bond.</t>
  </si>
  <si>
    <t>One Year (with automatic renewal for One year unless terminated)
2 months notice for termination</t>
  </si>
  <si>
    <t>Monthly retainer fee of INR 2,50,000/-</t>
  </si>
  <si>
    <t>Vishal Goenka</t>
  </si>
  <si>
    <t xml:space="preserve"> Pooja Chaudhri </t>
  </si>
  <si>
    <t xml:space="preserve">Annual Maintenance Contract </t>
  </si>
  <si>
    <t>Family Home Finance Private Limited</t>
  </si>
  <si>
    <t>IndiaBonds Technologies Private Limited</t>
  </si>
  <si>
    <t>IB Tech to perform annual maintenance and support
services to ensure the Website remains functional, secure, and up-to-date</t>
  </si>
  <si>
    <t xml:space="preserve">Perpetual 
Termination with 60 days notice </t>
  </si>
  <si>
    <t>INR 100,000 per annum (in advance)</t>
  </si>
  <si>
    <t>Jinit Gopaldas Kewalramani,
Chief Financial Officer</t>
  </si>
  <si>
    <t>Nikhil Dharamprakash Gupta,
Director</t>
  </si>
  <si>
    <t>INR 500,000 per annum (in advance)</t>
  </si>
  <si>
    <t>Mahesh Bhootra,
Chief Financial Officer</t>
  </si>
  <si>
    <t>A. K. Services Private Limited</t>
  </si>
  <si>
    <t>Dinesh Kumar Gupya,
Director</t>
  </si>
  <si>
    <t>Ranjit Dutta,
Chief Financial Officer</t>
  </si>
  <si>
    <t>Agreement for Appointment of Third Party Seller</t>
  </si>
  <si>
    <t xml:space="preserve">Facilitate investor access and enable transactions in debt securities through IndiaBonds’ online platform (https://www.indiabonds.com/).
</t>
  </si>
  <si>
    <t>Platform Usage Fees: INR 30,00,000
Customer / Operation Support Fees: INR 18,00,000</t>
  </si>
  <si>
    <t>Anand Sonawane,
CISO</t>
  </si>
  <si>
    <t>Platform Usage Fees: INR 30,00,000
Customer / Operation Support Fees: INR 6,00,000</t>
  </si>
  <si>
    <t xml:space="preserve">Agreement between Clearing Member and Trading Member </t>
  </si>
  <si>
    <t xml:space="preserve">SMC Global Securities Limited </t>
  </si>
  <si>
    <t>The obligations of clearing and settlement of trades of the Trading member (NSE)</t>
  </si>
  <si>
    <t>Perpetual 
Termination with 1 months notice</t>
  </si>
  <si>
    <t>Amit Malhotra,
BDM Clearing Services</t>
  </si>
  <si>
    <t xml:space="preserve">Harshad Babade,
Compliance Officer </t>
  </si>
  <si>
    <t>License to access and use the Software as prescribed in Schedule A</t>
  </si>
  <si>
    <t>List of Software Licenses and their respective Service Fees prescribed in Schedule B</t>
  </si>
  <si>
    <t>Vikas Santosh Jain, 
Director</t>
  </si>
  <si>
    <t xml:space="preserve">SLA Specified in Schedule C of the Agreement </t>
  </si>
  <si>
    <t>Sub-Consortium member of Nuvama Wealth for the forthcoming Public issue of bonds of Muthoot Fincorp Limited</t>
  </si>
  <si>
    <t>Nuvama Wealth and Investment Limited</t>
  </si>
  <si>
    <t>Sub-Consortium member of Nuvama Wealth and Investment Limited for the forthcoming Public issue of Bonds by Muthoot Fincorp Limited (“Issuer”)</t>
  </si>
  <si>
    <t>Ms. Madhuri Tawde / Sheetal Parab</t>
  </si>
  <si>
    <t>Sub-Consortium member of IIFL Capital Services Limited for the forthcoming Public issue of NCD of IIFL Home Finance Limited</t>
  </si>
  <si>
    <t>IIFL Capital Services Limited</t>
  </si>
  <si>
    <t>Sub-Consortium member of IIFL Capital Services Limited for the forthcoming Public issue of NCD by IIFL Home Finance Limited (“Issuer”)</t>
  </si>
  <si>
    <t>Anand Sonawane</t>
  </si>
  <si>
    <t>Messaging Services Agreement</t>
  </si>
  <si>
    <t>KARIX MOBILE PRIVATE LIMITED</t>
  </si>
  <si>
    <t>To access and use the WhatsApp Business Solution to interact with Messaging Platform and other APIs (“WhatsApp Business APIs”), WhatsApp Bot Services in order to send messages or use other available features.</t>
  </si>
  <si>
    <t>One Year
Thirty (30) days termination</t>
  </si>
  <si>
    <t>As per EXHIBIT A</t>
  </si>
  <si>
    <t>Ms. Seshanuradha Chava</t>
  </si>
  <si>
    <t>Letter of Engagement - Provision of Legal Services</t>
  </si>
  <si>
    <t xml:space="preserve">Samvad Partners, Advocates </t>
  </si>
  <si>
    <t>Availing legal advice in connection of formation of ESOP &amp; PSOP plan in the Company</t>
  </si>
  <si>
    <t xml:space="preserve">Till the completion of Services 
</t>
  </si>
  <si>
    <t>INR 3,50,000/-</t>
  </si>
  <si>
    <t>Ashwini Vittalachar</t>
  </si>
  <si>
    <t xml:space="preserve">Services Agreement
</t>
  </si>
  <si>
    <t>Securium Solutions</t>
  </si>
  <si>
    <t>To avail certain Audit and VAPT testing of its application</t>
  </si>
  <si>
    <t>Till March 31, 2024 (Renewal at the sole discretion of the client)</t>
  </si>
  <si>
    <t>INR 1,97,000/- (For all 9 applications</t>
  </si>
  <si>
    <t>Time-gap between L1 &amp; L2 shall not exceed 45 days (CERT-IN Guidelines)</t>
  </si>
  <si>
    <t>Aditya Goel/ Gaurav Punjabi</t>
  </si>
  <si>
    <t>Neha Singh</t>
  </si>
  <si>
    <t>HYPERVERGE COMMERCIAL API LICENSE AGREEMENT</t>
  </si>
  <si>
    <t xml:space="preserve">India Bond Private Limited
</t>
  </si>
  <si>
    <t>HyperVerge Technologies Private Limited</t>
  </si>
  <si>
    <t>To avail services offered by HyperVerge Commercial API, HyperVerge SDK (if applicable) and the Shared Platform</t>
  </si>
  <si>
    <t>As specified in Part A - License Fee  and Part B - Service Costs of EXHIBIT B of the Agreement</t>
  </si>
  <si>
    <t>As per Agreement</t>
  </si>
  <si>
    <t>Ms. Megha Nambiar</t>
  </si>
  <si>
    <t>Techila Global Services Limited</t>
  </si>
  <si>
    <t>To avial Staff Augmentation Services</t>
  </si>
  <si>
    <t>3 months (renewal at sole discretion of client)</t>
  </si>
  <si>
    <t>INR 1,40,000</t>
  </si>
  <si>
    <t>Anamika Mishra</t>
  </si>
  <si>
    <t xml:space="preserve">A. K. Capital Services Limited
A. K. Capital Finance Limited
A. K. Stockmart Private Limited
</t>
  </si>
  <si>
    <t>Leave &amp; License Agreement</t>
  </si>
  <si>
    <t>To take premises situated at Tulsiani Chambers on Leave &amp; License basis</t>
  </si>
  <si>
    <t>36 months (21/09/2023 and  20/09/2026)</t>
  </si>
  <si>
    <t>License fee: INR 61,250/- per month</t>
  </si>
  <si>
    <t>Tejas Dawda</t>
  </si>
  <si>
    <t>Harshad Babade</t>
  </si>
  <si>
    <t>AstTECS Communication Pvt Ltd</t>
  </si>
  <si>
    <t>Truecaller Services</t>
  </si>
  <si>
    <t>3 months (with automatic renewal)</t>
  </si>
  <si>
    <t>15000 per month</t>
  </si>
  <si>
    <t>Binish VJ</t>
  </si>
  <si>
    <t>India Bond Private Limited          A. K. Capital Services Limited     A. K. Capital Finance Limited   
Family Home Finance Private Limited (new entity added)</t>
  </si>
  <si>
    <t xml:space="preserve">ACL Mobile Private Limited </t>
  </si>
  <si>
    <t>Push SMS Services (Addendum Agreement No. 02)</t>
  </si>
  <si>
    <t>Uditav Sinha
uditavs@aclmobile.com
9987103017
Vaishali Sharma
vaishalis@sinch.com
T: +91 120 6139000</t>
  </si>
  <si>
    <t>Sub-License Agreement</t>
  </si>
  <si>
    <t xml:space="preserve">To sub license premises situated at Tulsiani Chambers </t>
  </si>
  <si>
    <t>5 months (13/10/2023 to 12/03/2024</t>
  </si>
  <si>
    <t>License fee: INR 5,000/- per month</t>
  </si>
  <si>
    <t>Vibhor Mittal</t>
  </si>
  <si>
    <t>OBPP Association</t>
  </si>
  <si>
    <t>OUTSOURCING AGREEMENT</t>
  </si>
  <si>
    <t>Unify Facility Management Pvt Ltd</t>
  </si>
  <si>
    <t>To arrange personnel/manpower supply to the Company from time to time for its various administrative and operational needs</t>
  </si>
  <si>
    <t>3 Years (With 1 month termination)</t>
  </si>
  <si>
    <t>4.50% on the Monthly CTC</t>
  </si>
  <si>
    <t>Amit Suryavanshi</t>
  </si>
  <si>
    <t>Hitachi Systems India Private Limited</t>
  </si>
  <si>
    <t>Implementing ISMS as per ISO27001:2022 &amp; ISO27001 Certification</t>
  </si>
  <si>
    <t>Perpetual (With 30 days termination)</t>
  </si>
  <si>
    <t xml:space="preserve">Implementing ISMS as per ISO27001:2022: 
INR 4,37,500/- plus GST
ISO27001 Certification: 
INR 4,06,250 plus GST
</t>
  </si>
  <si>
    <t>Falguni Patel
Regional Head</t>
  </si>
  <si>
    <t>Ethinos Digital Marketing Private Limited</t>
  </si>
  <si>
    <t>Digital Marketing Services&amp; Web Solutions</t>
  </si>
  <si>
    <t>Twelve (12) Months (With 30 days termination)</t>
  </si>
  <si>
    <t>As a percentage of monthly media spend as specified in Schedule A</t>
  </si>
  <si>
    <t>Anushri Thakur
Senior Manager- Marketing</t>
  </si>
  <si>
    <t xml:space="preserve">Siddharth Hegde
Managing Director
</t>
  </si>
  <si>
    <t>The obligations of clearing and settlement of trades of the Trading member (BSE)</t>
  </si>
  <si>
    <t>Services Agreement</t>
  </si>
  <si>
    <t>Cyber Security &amp; Cyber Resilience Compliance Audit</t>
  </si>
  <si>
    <t>Three (3) Years (Renewal at sole discretion of the Client)</t>
  </si>
  <si>
    <t>INR 72,500/-</t>
  </si>
  <si>
    <t>Anand Sonawane
Vice President - Engineering</t>
  </si>
  <si>
    <t xml:space="preserve">Manish Ashar
Principal Consultant
</t>
  </si>
  <si>
    <t>Six (6) Months (With 30 days termination)</t>
  </si>
  <si>
    <t>INR 2,75,000/- excluding taxes plus Performance Bonus of INR 25,000 excluding taxes (45 days from kick off date with a grace of 7 days)</t>
  </si>
  <si>
    <t>Jenil Sheth
Vice President</t>
  </si>
  <si>
    <t>Sudha Bhatnagar 
Director</t>
  </si>
  <si>
    <t>Design UI/UX for IndiaBonds Mobile Application
(effective from 10-06-2024)</t>
  </si>
  <si>
    <t>Amendment Letter to Referral Service Agreement</t>
  </si>
  <si>
    <t xml:space="preserve">As per Referral Service Agreement </t>
  </si>
  <si>
    <t>Mahesh Kumar Bhootra</t>
  </si>
  <si>
    <t>Ranjit Kumar Dutta</t>
  </si>
  <si>
    <t>Revision in consideration
Platform Usage Fees: INR 30,00,000
Customer / Operation Support Fees: INR 18,00,000</t>
  </si>
  <si>
    <t>Revision in consideration 
Platform Usage Fees: INR 90,00,000
Customer / Operation Support Fees: INR 36,00,000</t>
  </si>
  <si>
    <t>Revision in consideration
Platform Usage Fees: INR 30,00,000
Customer / Operation Support Fees: INR 6,00,000</t>
  </si>
  <si>
    <t>Kochar Consultants Private Limited</t>
  </si>
  <si>
    <t>ASP IS Audit Compliance Report as mandated by CCA / NSDL / Protean</t>
  </si>
  <si>
    <t>INR 15,000 each for 4 entities = INR 60,000</t>
  </si>
  <si>
    <t>Mr. Ashit Raja
Associate Director</t>
  </si>
  <si>
    <t>Mr. Siddhant Mehta
Director</t>
  </si>
  <si>
    <t>Distributor Agreement</t>
  </si>
  <si>
    <t xml:space="preserve">Sriram Finance Limited </t>
  </si>
  <si>
    <t>Distribution of Fixed Deposits by IndiaBonds</t>
  </si>
  <si>
    <t>Agreement shall come into effect on effective date and will continue unless terminated</t>
  </si>
  <si>
    <t>As per the rates shared by Sriram from time to time</t>
  </si>
  <si>
    <t>Mr. Rajeev Garg</t>
  </si>
  <si>
    <t>A. K. Capital Services Limited
A. K. Capital Finance Limited
A. K. Services Private Limited
A. K. Wealth Management Private Limited</t>
  </si>
  <si>
    <t>Cost Sharing Agreement</t>
  </si>
  <si>
    <t>IndiaBonds Tech to make use of services on a sharing basis subject to reimbursement of costs/ expenses</t>
  </si>
  <si>
    <t>Office Premises: INR 50,000 p.m.
Furniture: INR 5,000 p.m.
daily expenses: INR 5,000 p.m.
Personnel/Employee Sharing: INR 40,000 p.m.</t>
  </si>
  <si>
    <t>Harshad Babade,
Compliance Officer</t>
  </si>
  <si>
    <t>Anand Sonawane,
Director</t>
  </si>
  <si>
    <t xml:space="preserve">Master Service Agreement </t>
  </si>
  <si>
    <t>DigiKYC, Aadhaar Offline XML KYC, DIGILocker, Video KYC, ID card OCR validation/verification, Regulatory data submission, Upload of Signature</t>
  </si>
  <si>
    <t xml:space="preserve">Perpetual 
Termination with 30 days notice </t>
  </si>
  <si>
    <t>Yes. Specific to the service being availed and specified in Annexure-II</t>
  </si>
  <si>
    <t>Siddhant Chhabra 
Business Development Manager
9910606175</t>
  </si>
  <si>
    <t>designing and developing of UI / UX designs</t>
  </si>
  <si>
    <t>6 (six months) or the delivery of assets, final handover and final payment, whichever is later</t>
  </si>
  <si>
    <t>INR 10,00,000/-</t>
  </si>
  <si>
    <t>Ms. Devina Coutinho
devina@designcoz.com</t>
  </si>
  <si>
    <t xml:space="preserve">Bajaj Finance Limited </t>
  </si>
  <si>
    <t>Sachita Mohanty
sachita.mohanty@bajajfinserv.in</t>
  </si>
  <si>
    <t xml:space="preserve">valid for a period of 3 years </t>
  </si>
  <si>
    <t>Fee at the rates and as per the terms and conditions mutually agreed between BFL and IndiaBonds in advance in writing.</t>
  </si>
  <si>
    <t>Mr. Anand Sonawane,
CISO</t>
  </si>
  <si>
    <t>Physical copy pending to be received.</t>
  </si>
  <si>
    <t xml:space="preserve">SAAS Order Form </t>
  </si>
  <si>
    <t>Darwinbox Digital Solutions Private Limited</t>
  </si>
  <si>
    <t>access to its Darwinbox Human Resource Management Cloud Solution ("Software")</t>
  </si>
  <si>
    <t>3 (three) years;
auto-renew for successive period of 1 (one) year unless earlier terminated</t>
  </si>
  <si>
    <t xml:space="preserve">INR 800,000 PA (upto 150 users)
INR </t>
  </si>
  <si>
    <t>Smile Internet Technologies Private Limited</t>
  </si>
  <si>
    <t>Marketing Services Agreement</t>
  </si>
  <si>
    <t>to provide the marketing services to the Client as mutually agreed in writing</t>
  </si>
  <si>
    <t>Perpetual.
Fifteen (15) days’ notice</t>
  </si>
  <si>
    <t>INR 1 Lakh for commencement and credits to be used for
marketing spends as in dashboard.</t>
  </si>
  <si>
    <t>Anushri Thakur</t>
  </si>
  <si>
    <t>Siddharth Puri,
Director/Founder</t>
  </si>
  <si>
    <t>Swapnil Shinde</t>
  </si>
  <si>
    <t xml:space="preserve">Ashit Raja  </t>
  </si>
  <si>
    <t xml:space="preserve">Swapnil Shinde / Ashit Raja </t>
  </si>
  <si>
    <t>The Company now also avails Paid Media Services from Puretech vide First Addendum Agreement dated         November 21, 2022. 
Reminder for renewal due. Scope and Commercials.</t>
  </si>
  <si>
    <t xml:space="preserve">Swapnil Shinde </t>
  </si>
  <si>
    <t>Ashit Raja / Anand Sonawane</t>
  </si>
  <si>
    <t>Reminder for renewal due. Scope and Commercials.</t>
  </si>
  <si>
    <t>Mihir More, Human Resource</t>
  </si>
  <si>
    <t xml:space="preserve">Marketing Team </t>
  </si>
  <si>
    <t>Jitendra Kantharia</t>
  </si>
  <si>
    <t>Ashit Raja</t>
  </si>
  <si>
    <t>Mihir More</t>
  </si>
  <si>
    <t>Annual Subscription      (With 60 days termination)     
continue until all
subscriptions granted in accordance with this Agreement have expired or been terminated</t>
  </si>
  <si>
    <t>Bajaj Capital Limited</t>
  </si>
  <si>
    <t>Anushri to advise on the extension or discontinuation.</t>
  </si>
  <si>
    <t xml:space="preserve">Commercial Pricing for the Second Year reduced to INR 6,00,000/- vide  
</t>
  </si>
  <si>
    <t xml:space="preserve">Third Amendment
INR 10,00,000/- Feb 1, 2025 to Jan 31, 2026 
INR 10,00,000/- Feb 1, 2026 to Jan 31, 2027
INR 12,00,000/- Feb 1, 2027, to Jan 31, 2028
INR 12,00,000/- Feb 1, 2028 to Jan 31, 2029
INR 15,00,000/- from Feb 1, 2029 onwards
</t>
  </si>
  <si>
    <t xml:space="preserve">Service Agreement
</t>
  </si>
  <si>
    <t>To access Karza's API services and other ancillary services. 
Addendum Agreement dated 12-Feb-2023 To avail additional services of Bank AC Verification &amp; UPI verification and Non-Assignment clause added</t>
  </si>
  <si>
    <t>As per Annexure 3
As per Annexure 3-A</t>
  </si>
  <si>
    <t>Dinesh Kumar Gupta,
Director</t>
  </si>
  <si>
    <t>Signed by Both Parties</t>
  </si>
  <si>
    <t>1 year from date of execution; 3 years survival period</t>
  </si>
  <si>
    <t>Never activated</t>
  </si>
  <si>
    <t xml:space="preserve">Activated. Paused. </t>
  </si>
  <si>
    <t>One Mobikwik Systems Limited</t>
  </si>
  <si>
    <t>Draft</t>
  </si>
  <si>
    <t>Draft &amp; negotiation ongoing</t>
  </si>
  <si>
    <t>Payment Solution Agreement</t>
  </si>
  <si>
    <t>Cashfree Payments India Private Limited</t>
  </si>
  <si>
    <t>Payment gateway and developing and implementing
payment related solutions</t>
  </si>
  <si>
    <t>Platform Fees prescribed in Annexure-1</t>
  </si>
  <si>
    <t>Rahul Ramesan
9645015027
rahul.r@cashfree.com</t>
  </si>
  <si>
    <t xml:space="preserve">Fixerra grants Client a right to market and make available Fixed Deposits to its Customers through its Mobile Application and/or Website. </t>
  </si>
  <si>
    <t>Fees prescribed in Annexure-4</t>
  </si>
  <si>
    <t>Arshya Dhawan
arshya@fixerra.in
Priyanka Satra
priyanka@fixerra.in
Akshar Shah
akshar@fixerra.in</t>
  </si>
  <si>
    <r>
      <t xml:space="preserve">Fetching of Reference Data – Corporate Bond
</t>
    </r>
    <r>
      <rPr>
        <b/>
        <sz val="12"/>
        <color theme="1"/>
        <rFont val="Calibri"/>
        <family val="2"/>
        <scheme val="minor"/>
      </rPr>
      <t xml:space="preserve">First Amendment </t>
    </r>
    <r>
      <rPr>
        <sz val="12"/>
        <color theme="1"/>
        <rFont val="Calibri"/>
        <family val="2"/>
        <scheme val="minor"/>
      </rPr>
      <t xml:space="preserve">dated June 14, 2022
</t>
    </r>
    <r>
      <rPr>
        <b/>
        <sz val="12"/>
        <color theme="1"/>
        <rFont val="Calibri"/>
        <family val="2"/>
        <scheme val="minor"/>
      </rPr>
      <t>Second Amendment</t>
    </r>
    <r>
      <rPr>
        <sz val="12"/>
        <color theme="1"/>
        <rFont val="Calibri"/>
        <family val="2"/>
        <scheme val="minor"/>
      </rPr>
      <t xml:space="preserve"> dated Sept 29, 2023
</t>
    </r>
    <r>
      <rPr>
        <b/>
        <sz val="12"/>
        <color theme="1"/>
        <rFont val="Calibri"/>
        <family val="2"/>
        <scheme val="minor"/>
      </rPr>
      <t xml:space="preserve">Third Amendment </t>
    </r>
    <r>
      <rPr>
        <sz val="12"/>
        <color theme="1"/>
        <rFont val="Calibri"/>
        <family val="2"/>
        <scheme val="minor"/>
      </rPr>
      <t>dated February 10, 2024</t>
    </r>
  </si>
  <si>
    <t>Techdefence Labs Solutions Limited</t>
  </si>
  <si>
    <t>audit analysis for Financial Year 2024-25 of the Client in terms of Cyber Security
&amp; Cyber Resilience Compliance Audit</t>
  </si>
  <si>
    <t xml:space="preserve">1 year with 30 days notice. </t>
  </si>
  <si>
    <t>INR 60,000</t>
  </si>
  <si>
    <t xml:space="preserve">Mr. Sunny Vaghela
Email ID - sunny@techdefencelabs.com </t>
  </si>
  <si>
    <t>Mr. Anand Sonawane
Email ID – anand.sonawane@indiabonds.com</t>
  </si>
  <si>
    <t>Sub-Consortium/Sub-broker member</t>
  </si>
  <si>
    <t>Moneywise Finvest Limited (“MFL”)</t>
  </si>
  <si>
    <t>for Public Issue of SMC Global Securities Limited</t>
  </si>
  <si>
    <t>Yes</t>
  </si>
  <si>
    <t>Vaibhav / Harish Jagdale</t>
  </si>
  <si>
    <t>Sub-Consortium</t>
  </si>
  <si>
    <t xml:space="preserve">for Public Issue of Muthoot Fincorp Limited </t>
  </si>
  <si>
    <t>Extension Letter</t>
  </si>
  <si>
    <t>Extension of Services for 2 (two) years i.e., upto December 11, 2025</t>
  </si>
  <si>
    <t>24 months from December 12, 2023 to December 11, 2025</t>
  </si>
  <si>
    <t>Terms of Engagement</t>
  </si>
  <si>
    <t>introduce candidates to the Company who will be considered for Engagement. ‘Engagement’ means the employment, hire or other use, directly or indirectly, and whether under a contract of service or contract for services or otherwise, and on a permanent, temporary, or other basis, of a Candidate.</t>
  </si>
  <si>
    <t>Jigsow Advisors LLP</t>
  </si>
  <si>
    <t>renewed for a further period up to December 31, 2025</t>
  </si>
  <si>
    <t>Extension of Services for a further period up to December 31, 2025</t>
  </si>
  <si>
    <t>1 years;
30 (Thirty) days notice.</t>
  </si>
  <si>
    <t>ITW Catalyst Private Limited</t>
  </si>
  <si>
    <t>Trojan Hunt Private Limited</t>
  </si>
  <si>
    <t>Adapt Fintech Advisors Private Limited</t>
  </si>
  <si>
    <t>Non-Disclosure Agreement
Disclosing)</t>
  </si>
  <si>
    <t>First Addendum</t>
  </si>
  <si>
    <t xml:space="preserve">Marketing Team; Anushri </t>
  </si>
  <si>
    <t xml:space="preserve">signed by both Parties </t>
  </si>
  <si>
    <t xml:space="preserve">Amica Financial Technologies Private Limited </t>
  </si>
  <si>
    <t xml:space="preserve">performance marketing services (“SEM”) and allied services </t>
  </si>
  <si>
    <t>Monthly Retainer - 
₹1,50,000 - Till 1 Crore
₹2,75,000 - 1 to 1.5 Crores
10% (ten percent) of the value of the respective SOW</t>
  </si>
  <si>
    <t>Anushri Thakur 
Sriram Subramaniam</t>
  </si>
  <si>
    <t xml:space="preserve">Name: Anuj Saraf
Designation: GM – Brand Marketing
E-mail id: anuj.saraf@itwglobal.com </t>
  </si>
  <si>
    <t>Anunta Technology Management Services Limited</t>
  </si>
  <si>
    <t>As more particularly defined in the Statement of Work ("SOW")</t>
  </si>
  <si>
    <t xml:space="preserve">3 (Three) years or last surviving SOW, whichever is later. </t>
  </si>
  <si>
    <t>Yes, as per Statement of Work. 
SOW-₹ 77,00,001/-</t>
  </si>
  <si>
    <t xml:space="preserve">Yes as per SOW only </t>
  </si>
  <si>
    <t xml:space="preserve">Vishal Mody </t>
  </si>
  <si>
    <t xml:space="preserve">Gautam Chakrabarty
022 66200888
Level 2, Block B6, Nirlon Knowledge Park, off Western Express Highway, Goregaon (East), Mumbai - 400 063. </t>
  </si>
  <si>
    <t>First Addendum to the Services Agreement</t>
  </si>
  <si>
    <t>conducting awareness programs, masterclass(es) to undertake initiatives in compliance with applicable laws and regulatory requirements</t>
  </si>
  <si>
    <t xml:space="preserve">Amendment in Deliverables and Commercials </t>
  </si>
  <si>
    <t>initial period of 1 (One) Year (“Initial Term”). The Term of the Agreement will automatically renew and extend for subsequent 1 (One) year period</t>
  </si>
  <si>
    <t xml:space="preserve">Yes. Payment of INR 4,00,000/- (Rupees Four Lakhs) per month for a period of 2-months. </t>
  </si>
  <si>
    <t>Flat referral incentive of ₹500 (Indian Rupees Five Hundred Only) for each completed and verified investor KYC (‘KYC Approved’)</t>
  </si>
  <si>
    <t>Sriram Subramaniam</t>
  </si>
  <si>
    <t xml:space="preserve">Sach Keerat </t>
  </si>
  <si>
    <t>Online Bond Platform Access Agreement</t>
  </si>
  <si>
    <t>One Centurion Ventures Private Limited</t>
  </si>
  <si>
    <t>introducing clients to the Company’s online bond platform, solely for the purpose of
enabling such clients to independently access and invest in fixed income securities</t>
  </si>
  <si>
    <t>Term shall continue unless
terminated by either Party</t>
  </si>
  <si>
    <t>Company shall not pay or share any fees, commissions, brokerage, referral incentives, or
any form of monetary or non-monetary consideration</t>
  </si>
  <si>
    <t>Amendment No. 1 to Messaging Service Agreement</t>
  </si>
  <si>
    <t xml:space="preserve">Term Extended to 06th May 2026 </t>
  </si>
  <si>
    <t>same</t>
  </si>
  <si>
    <t>First Addendum Agreement</t>
  </si>
  <si>
    <t>Second Addendum Agreement</t>
  </si>
  <si>
    <t>Extension for a period of 2 (two) years i.e., until March 14, 2027</t>
  </si>
  <si>
    <t>Monthly retainer fee of INR 2,62,500/-
(Annexure-I)</t>
  </si>
  <si>
    <t xml:space="preserve">VAPT of Company's Mobile Application </t>
  </si>
  <si>
    <t xml:space="preserve">30 days advance notice in writing to other party </t>
  </si>
  <si>
    <t>INR 80,000/- (Schedule - B)</t>
  </si>
  <si>
    <t>Yes
(Schedule A)</t>
  </si>
  <si>
    <t>Mr. Kunal Sharma
kunal@trojanhuntindia.com</t>
  </si>
  <si>
    <t>Trojan Hunt India LLP</t>
  </si>
  <si>
    <t>shall be amended to extend the term
for a period of 36 (thirty-six) months i.e., until April 30, 2028</t>
  </si>
  <si>
    <r>
      <rPr>
        <b/>
        <sz val="12"/>
        <color theme="1"/>
        <rFont val="Calibri"/>
        <family val="2"/>
        <scheme val="minor"/>
      </rPr>
      <t xml:space="preserve">Schedule-B </t>
    </r>
    <r>
      <rPr>
        <sz val="12"/>
        <color theme="1"/>
        <rFont val="Calibri"/>
        <family val="2"/>
        <scheme val="minor"/>
      </rPr>
      <t xml:space="preserve">of the Principal Agreement pertaining to Service Fees and Payment Structure, be
replaced with the </t>
    </r>
    <r>
      <rPr>
        <b/>
        <sz val="12"/>
        <color theme="1"/>
        <rFont val="Calibri"/>
        <family val="2"/>
        <scheme val="minor"/>
      </rPr>
      <t xml:space="preserve">Annexure 1 </t>
    </r>
    <r>
      <rPr>
        <sz val="12"/>
        <color theme="1"/>
        <rFont val="Calibri"/>
        <family val="2"/>
        <scheme val="minor"/>
      </rPr>
      <t>of this Second Addendum</t>
    </r>
  </si>
  <si>
    <t>Monthly retainer fees of INR 1,15,000/-</t>
  </si>
  <si>
    <t>Extension of the Principal Agreement above for a period of 12 months</t>
  </si>
  <si>
    <t xml:space="preserve">SOW No. 1 </t>
  </si>
  <si>
    <t xml:space="preserve">Procurement of advertising inventory through ITW DMCC from Apple Inc. </t>
  </si>
  <si>
    <t xml:space="preserve">Fee Payable: USD 5701.25/- </t>
  </si>
  <si>
    <t>Trasol Events Private Limited</t>
  </si>
  <si>
    <t>IndiaBonds to participate in the Money Expo India event scheduled to be held at Jio World Convention Centre, Mumbai, as one of the sponsors</t>
  </si>
  <si>
    <t>INR 300,000</t>
  </si>
  <si>
    <t>First Addendum Agreement to Participation Contract</t>
  </si>
  <si>
    <t>Canarys Automations Limited</t>
  </si>
  <si>
    <t>specified GitHub licenses through the Service Provider as stated
in Exhibit A and the Service provider has agreed to provide GitHub Licenses on the terms
and conditions appearing hereinafter</t>
  </si>
  <si>
    <t>The Agreement shall commence on effective date and continue until all SOWs are completed or till Agreement is
terminated by either of the Parties whichever is earlier</t>
  </si>
  <si>
    <t xml:space="preserve">Yes. </t>
  </si>
  <si>
    <t>Primary Contact -           For India Bonds</t>
  </si>
  <si>
    <t xml:space="preserve">Vishal Mody 
Shaurya Dhaka </t>
  </si>
  <si>
    <t>Monthly Unit
Price (₹): ₹ 1,800.00 plus GST 
Quantity: 20 units 
Annual Total
Price (₹): ₹ 4,32,000.00 plus GST</t>
  </si>
  <si>
    <t>Name: Sudheer Chandra
Designation: Business Development Manager
Address: Canarys Automations Limited,
566 &amp; 567, 30th Main, Attimabbe Road,
Banagirinagara, Banashankari 3rd Stage.
Bengaluru, Karnataka 560085
Email: Sudheer.chandra@ecanarys.com</t>
  </si>
  <si>
    <t>AGREEMENT FOR REGISTRATION OF DIRECT REFERRAL ASSOCIATE</t>
  </si>
  <si>
    <t>RKSV SECURITIES INDIA PRIVATE LIMITED</t>
  </si>
  <si>
    <t>DRA will introduce/refer prospective Users who are interested in making transactions / exploring the products offered on the Platform, through digital redirection to the Platform, mutually agreed as per Annexure A</t>
  </si>
  <si>
    <t>referral fees based on “Flat Referral Rates” for all referred persons (subject to the deduction of applicable taxes) to the DRA as per Annexure B</t>
  </si>
  <si>
    <t>Either Party may terminate this Agreement after giving 30 days prior written notice to the Other Party.</t>
  </si>
  <si>
    <t>Amit Chhotalal Lalan</t>
  </si>
  <si>
    <t xml:space="preserve">Anand Sonawane </t>
  </si>
  <si>
    <t>India FinTech Forum</t>
  </si>
  <si>
    <t xml:space="preserve">Memorandum of Understanding </t>
  </si>
  <si>
    <t>Participation in the India FinTech Awards 2025</t>
  </si>
  <si>
    <t>Until completion of deliverables or till 31st May 2025 (whichever is earlier)</t>
  </si>
  <si>
    <t>INR 166,500/-</t>
  </si>
  <si>
    <t>Riny Kumar, 
Senior Manager 
email: riny@indiafintech.com</t>
  </si>
  <si>
    <t xml:space="preserve">Raise Securities Private Limited </t>
  </si>
  <si>
    <t xml:space="preserve">Engagement Letter for Rendering Professional Services </t>
  </si>
  <si>
    <t xml:space="preserve">IB Future Tech Private Limited </t>
  </si>
  <si>
    <t xml:space="preserve">Ohm Dovetail Global Admin Services Private Limited </t>
  </si>
  <si>
    <t xml:space="preserve">Provide Management consulting services </t>
  </si>
  <si>
    <t>Upto 30th May 2025</t>
  </si>
  <si>
    <t>INR 5,91,000/- plus applicable taxes</t>
  </si>
  <si>
    <t>Mr. Vivek Singhania</t>
  </si>
  <si>
    <t>Integrated Enterprises (India) Private Limited</t>
  </si>
  <si>
    <t>SOW No. 2</t>
  </si>
  <si>
    <t>procurement of advertising inventory as detailed
in Clause 4 for advertisement of Client’s brand ‘India Bonds’ (“Brand”) during the
transmission of the ACC Men’s Asia Cup 2025</t>
  </si>
  <si>
    <t>INR 1,00,00,000/- (Indian Rupees One Crore Only)</t>
  </si>
  <si>
    <t>Shriram Wealth Limited</t>
  </si>
  <si>
    <t>Futurewise Technologies Private Limited</t>
  </si>
  <si>
    <t>signed by both Parties</t>
  </si>
  <si>
    <t>SOW No. 3</t>
  </si>
  <si>
    <t>SOW No. 4</t>
  </si>
  <si>
    <t xml:space="preserve">procurement of inventory during India vs Australia 2025 series </t>
  </si>
  <si>
    <t>INR 25,00,000/- (Indian Rupees Twenty Five Lakhs Only)</t>
  </si>
  <si>
    <t>Skillr Talent Private Limited</t>
  </si>
  <si>
    <t>availing chatbot services from Fundamento</t>
  </si>
  <si>
    <t>The term of this Agreement shall be one (1) year commencing from the Effective 
Date, subject to an initial lock-in period of two (2) months starting from the Go-Live 
Date</t>
  </si>
  <si>
    <t xml:space="preserve">As per Annexure I </t>
  </si>
  <si>
    <t xml:space="preserve">Attention: Prapurna Sharma 
Address: A-38, New Friends Colony, New Delhi 110065 
Contact No.: +91 95402 09130/9770552023 
Email Id: prapurna@fundamento.ai </t>
  </si>
  <si>
    <t>Vishal Mody 
Address: 605, 6th Floor, Windsor, Off CST Road, Kalina, Santacruz - (East), Mumbai – 
400 098 
Contact no.: 8097176190 
Email ID:tech@indiabonds.com</t>
  </si>
  <si>
    <t>Mintbox Solutions Private Limited</t>
  </si>
  <si>
    <t xml:space="preserve">Socio Spy Media </t>
  </si>
  <si>
    <t>to identify, evaluate, and shortlist
suitable Digital Content Creators as per the requirements specified and to provide such other ancillary services as deemed appropriate.</t>
  </si>
  <si>
    <t>shall remain in force for a period of twelve (12) months</t>
  </si>
  <si>
    <t>As per Annexure - C  "Commercials"</t>
  </si>
  <si>
    <t>Mr. Anand Sonawane/Sriram Subramanian
8097176193
Compliance@indiabonds.com &amp;
marcom@indiabonds.com</t>
  </si>
  <si>
    <t>Mr Minesh Girish Santani
D-118, Regency Plaza, Shantinagar, Ulhasnagar - 421 004
+91 89838 41226
minesh@sociospy.com</t>
  </si>
  <si>
    <t>MASTER SOFTWARE LICENSING AGREEMENT</t>
  </si>
  <si>
    <t>Quant Legaltech India Private Limited</t>
  </si>
  <si>
    <t>non-exclusive, non-assignable, royalty free, right to access and use the
Complius Platform (“Platform”) for the proposed Services</t>
  </si>
  <si>
    <t xml:space="preserve">Perpetual with 5 years lock-in period </t>
  </si>
  <si>
    <t xml:space="preserve">Schedule E:
Monthly License Fees - INR 7,500
One-time Set up fees - INR 30,000
</t>
  </si>
  <si>
    <t>Schedule F</t>
  </si>
  <si>
    <t xml:space="preserve">Anand Vikas Sonawane </t>
  </si>
  <si>
    <t>Amit Sengupta</t>
  </si>
  <si>
    <t xml:space="preserve">PAYX CAPITAL SERVICES PRIVATE LIMITED </t>
  </si>
  <si>
    <t>Mr. Madurai Veeran Marimuthu</t>
  </si>
  <si>
    <t>Digital Content Creation</t>
  </si>
  <si>
    <t xml:space="preserve">12 months or until completion and delivery of Deliverables to satisfaction of IBPL, whichever is  earlier. </t>
  </si>
  <si>
    <t xml:space="preserve">Annexure C - Commercials </t>
  </si>
  <si>
    <t>Mr. Madurai Veeran Marimuthu
40/62A, Foxen Street, Perambur, Chennai - 600011
9629150744
mmadhuveera@yahoo.co.in</t>
  </si>
  <si>
    <t xml:space="preserve">Mr. Anand Vikas Sonawane 
8097176193
compliance@indiabonds.com 
marcom@indiabonds.com </t>
  </si>
  <si>
    <t>Finvasia Securities Private Limited</t>
  </si>
  <si>
    <t xml:space="preserve">signed by both Parties
Mutual Indemnity with no limit on liability </t>
  </si>
  <si>
    <t>Walnut Folks Services Private Limited</t>
  </si>
  <si>
    <t xml:space="preserve">Mr. Hitesh Lalwani
17/R , HSR Layout 3rd Sector Bus Stop, 18 cross road ,HSR layout. Bengaluru, Bengaluru Urban, Karnataka - 560102
8296373038
accounts@walnutfolks.com
sowmya.shetty@walnutfolks.com
</t>
  </si>
  <si>
    <t>Leader Care Ventures Private Limited</t>
  </si>
  <si>
    <t>Wealth India Financial Services Private Limited</t>
  </si>
  <si>
    <t>signed by both Parties.</t>
  </si>
  <si>
    <t>Internal Audit Agreement</t>
  </si>
  <si>
    <t>First Amendment Agreement</t>
  </si>
  <si>
    <t>Anudnya A Mehta &amp; Associates</t>
  </si>
  <si>
    <t xml:space="preserve">Internal Audit as per Stock Broking Regulations </t>
  </si>
  <si>
    <t>FY 23-24 and 24-
25</t>
  </si>
  <si>
    <t>INR 50,0000/-</t>
  </si>
  <si>
    <t>INR 100,0000/-</t>
  </si>
  <si>
    <t xml:space="preserve">Harshad Babade </t>
  </si>
  <si>
    <t>Hitesh Motiramani / Ashit Raja</t>
  </si>
  <si>
    <t>Yash Shah</t>
  </si>
  <si>
    <t>Broadcast Service Agreement</t>
  </si>
  <si>
    <t>Network18 Media &amp; Investments Limited</t>
  </si>
  <si>
    <t xml:space="preserve">to enhance awareness of its brand “IndiaBonds,” as well as promote investor education and awareness regarding bonds and fixed income securities/instruments broadcast through channel of Broadcaster as well as through various digital and social media platforms of Broadcaster
</t>
  </si>
  <si>
    <t>1st December 2025 to 25th May 2026</t>
  </si>
  <si>
    <t>Annexure B
INR 350,00,000 (Three Hundred Fifty Lacs)</t>
  </si>
  <si>
    <t>Mr. Anand Sonawane</t>
  </si>
  <si>
    <t>Legal Team,
Mangesh Chavan
9821125207
legal@nw18.com- for Legal Matters
Mangesh.Chavan@nw18.com – For Finance and related matters</t>
  </si>
  <si>
    <t xml:space="preserve">Data Service Agreement </t>
  </si>
  <si>
    <t xml:space="preserve">Value Research India Private Limited </t>
  </si>
  <si>
    <t>Value Research will provide aggregated data rela􀆟ng to mutual funds and stocks listed on
Indian stock exchanges without engaging in investment advisory or providing bespoke advice</t>
  </si>
  <si>
    <t>This Agreement shall come into force with effect from the Execu􀆟on Date and shall con􀆟nue to be in
effect unless terminated by either Party</t>
  </si>
  <si>
    <t>INR 3,75,000/- per annum (Fees) which shall be paid by the Recipient within 30 (thirty) days from
the date of receipt of invoice.</t>
  </si>
  <si>
    <t xml:space="preserve">Mr. Aneesh Nair
Lead: Admin &amp; Invoicing
Value Research India Private Limited, C- 103,
Sector - 65, Noida - 201301
aneesh@valueresearch.in </t>
  </si>
  <si>
    <t>Corporate Professionals India Private Limited</t>
  </si>
  <si>
    <t>License Agreement</t>
  </si>
  <si>
    <t>Application/Product to Client to manage the ESOP plans. The details of the Product, application, functionalities and the maintenance and support services set forth in the “Annexure-I”</t>
  </si>
  <si>
    <t xml:space="preserve">Perpetual </t>
  </si>
  <si>
    <t xml:space="preserve">Annexure II - Fees &amp; Charges 
Employee management upto 100 – Rs. 70,000 per year
Additional – Rs. 770 per additional user
Customization - at actuals
Old Data Migration - Rs. 1000 per man hour 
</t>
  </si>
  <si>
    <t>Yes. Annexure III</t>
  </si>
  <si>
    <t>Name: Mr. Manoj Kumar
Designation: Director
Address: D-28, South Extension, Part I, New Delhi- 110049
Email: manoj@indiacp.com</t>
  </si>
  <si>
    <t>Name: Anand Sonawane
Designation: Director</t>
  </si>
  <si>
    <t>Zigram Data Technologies Private Limited</t>
  </si>
  <si>
    <t>PreScreening.io (or equivalent) screening application for the explicit purposes of conducting AML name screening</t>
  </si>
  <si>
    <t>Period of 3 years.</t>
  </si>
  <si>
    <t>as more detailed in associated Annexure(s) or Work Order(s)</t>
  </si>
  <si>
    <t>Yes. The COMPANY shall maintain the service levels as mutually agreed by the Parties.</t>
  </si>
  <si>
    <t>Yash Goyal
+91 – 9509 73 5458
yash.goyal@zigram.tech</t>
  </si>
  <si>
    <t>Anand Sonawane
8097176215
tech@indiabonds.com</t>
  </si>
  <si>
    <t>Schedule B: Service Fees and Consideration</t>
  </si>
  <si>
    <t>Aditi Mittal,
Director</t>
  </si>
  <si>
    <t>Pending. Not Signed</t>
  </si>
  <si>
    <t>KYC Registration Agency Agreement</t>
  </si>
  <si>
    <t>CDSL Ventures Limited</t>
  </si>
  <si>
    <t xml:space="preserve">KYC Registration Agency </t>
  </si>
  <si>
    <t xml:space="preserve">Yes. As communicated by CDSL. </t>
  </si>
  <si>
    <t>Indiabonds Money Private Limited</t>
  </si>
  <si>
    <t>Upswing Financial Technologies Private Limited</t>
  </si>
  <si>
    <t xml:space="preserve">market, promote and make available Fixed Deposits to its Customers through its Mobile Application and/or Website or through physical / offline mode. </t>
  </si>
  <si>
    <t>Yes. (Annexure 3)</t>
  </si>
  <si>
    <t>Yes. (Annexure 2)</t>
  </si>
  <si>
    <t>Mr Anupam Bagchi
906, Riddhi Tower Garden,
A K Vaidya Marg, Off Film City Road,
Nr Wageshwari Mandir, Malad(E),
Mumbai-400097, Maharashtra</t>
  </si>
  <si>
    <t xml:space="preserve">Mr. Vishal Mody, Director
</t>
  </si>
  <si>
    <t>Terms and Conditions</t>
  </si>
  <si>
    <t xml:space="preserve">completion and delivery of Deliverables to satisfaction of IBPL. </t>
  </si>
  <si>
    <t>Omkar Satam Films</t>
  </si>
  <si>
    <t>Mr. Omkar Satam,
9309382545
omkarsatam@omkarsatamfilms.com</t>
  </si>
  <si>
    <t xml:space="preserve">Mr. Sriram Subramanian
9029679643
</t>
  </si>
  <si>
    <t xml:space="preserve">Payment Terms as per Annexure A. 
INR 10,50,000/- </t>
  </si>
  <si>
    <t>IndiaBonds Money Private Limited</t>
  </si>
  <si>
    <t xml:space="preserve">utilizing the office premises as its Registered Office and availing required administrative and other support services on a shared basis
</t>
  </si>
  <si>
    <t>Perpetual. Sixty (60) days prior written notice</t>
  </si>
  <si>
    <t xml:space="preserve">INR 25,000/- per month </t>
  </si>
  <si>
    <t>Vishal Yatin Mody</t>
  </si>
  <si>
    <t xml:space="preserve">Vodafone Idea Limited </t>
  </si>
  <si>
    <t>the call recording solution service and cloud storage service through its authorized business partner BK systems</t>
  </si>
  <si>
    <t xml:space="preserve">the initial term as provided in Schedule 2.
After initial term, Agreement shall continue to be renewed for one (1) year period with prior permission of Customer
</t>
  </si>
  <si>
    <t>Plan Name - MCRS_650_1KM_100S
Rental - 650</t>
  </si>
  <si>
    <t>Head of Business,
CC: General Counsel,
Vodafone Idea India Limited, Peninsula Corporate Park, Ganapatrao Kadam Marg, Lower Parel, Mumbai 400013.</t>
  </si>
  <si>
    <t>Admin Department, India Bond Private Limited, 605, 6th Floor, Windsor, Off CST Road, Kalina, Santacruz (East), Vidyanagari, Mumbai - 400098</t>
  </si>
  <si>
    <t xml:space="preserve">India Bond has executed. 
Vodafone Idea - processing and execution pending at their end. </t>
  </si>
  <si>
    <t xml:space="preserve">Data Processing Agreement </t>
  </si>
  <si>
    <t>First Addendum to Broadcast Service Agreement</t>
  </si>
  <si>
    <t>the campaign end date under
Clause 2.1 of the Agreement shall stand extended from 25 May 2026 to 30 June 2026</t>
  </si>
  <si>
    <t>Agreement for e-Sign services</t>
  </si>
  <si>
    <t>Addendum No. 1</t>
  </si>
  <si>
    <t>Protean eGov Technologies Limited</t>
  </si>
  <si>
    <t>e-Sign electronic Online Signature services from ESP</t>
  </si>
  <si>
    <t>Clause 13.2 to be modified to make the Principal Agreement valid until perpetuity.</t>
  </si>
  <si>
    <t>14/07/2023 to 31/03/2026</t>
  </si>
  <si>
    <t>the Fees will be leviable
as specified. Any modification in the fees will be intimated in writing to the ASP.</t>
  </si>
  <si>
    <t>Address: First Floor, Times Tower, Kamala Mills Compound, Senapati Bapat Marg, Lower
Parel, Mumbai – 400 013
Attention: Mr. Avinash Krishnan
Phone Numbers: 022-4090 4338
Fax No.: 022 – 2499 4690</t>
  </si>
  <si>
    <t>Address: 605, 6th Floor, Windsor, Off CST Road, Kalina, Santacruz (East),
Mumbai – 400 098
Attention: Mr. Sachin Vengurlekar
Phone Numbers: 022-67546500
Fax No.: 022-66100594</t>
  </si>
  <si>
    <t>Epaphra</t>
  </si>
  <si>
    <t xml:space="preserve">15 working days or until the completion and delivery of deliverable under this Agreement to the satisfaction of Company </t>
  </si>
  <si>
    <t xml:space="preserve">Annexure B </t>
  </si>
  <si>
    <t>Mr. Epaphra
C815, Urbanrise Revolution One, Padur - 603103, Tamil Nadu
+919600770424</t>
  </si>
  <si>
    <t>Amendment No. 1 to AGREEMENT FOR REGISTRATION OF DIRECT REFERRAL ASSOCIATE</t>
  </si>
  <si>
    <t>Addition of Notice Clause in the Main Agreement.</t>
  </si>
  <si>
    <t>Legal Team
21st Floor, Sunshine Tower, Senapati Bapat Marg, Dadar (W), Mumbai, Maharashtra 400013.
For business &amp; operational matters:
aditya.vyas@rksv.in and sushilkumar.bharpure@rksv.in
For any approvals, compliance &amp; legal matters:
legal@rksv.in; core_compliance@rksv.in
and contracts@rksv.in.</t>
  </si>
  <si>
    <t>Mr. Anand Sonawane
605, 6th Floor, Windsor, Off CST Road,
Kalina, Santacruz (East),
Mumbai, Maharashtra: 400098
For business &amp; operational matters: rksv@indiabonds.com
For any approvals, compliance &amp; legal matters:
compliance@indiabonds.com</t>
  </si>
  <si>
    <t>Kumar &amp; Co.</t>
  </si>
  <si>
    <t>Data Processing Agreement (DPA) for the purpose
of PDF to JSON conversion of CAS statement of Controller’s Users (generated by
CAMS/KFintech, CDSL &amp; NSDL) on real time basis. Upon upload of a CAS statement by a
User, an output report is generated in a structured and machine-readable format.</t>
  </si>
  <si>
    <t>1 (One) years</t>
  </si>
  <si>
    <t>INR 1,25,000/- + GST to be paid biannually
(every six months) for 750 (seven fifty) PDF to JSON
conversions in a month. Any additional PDF to JSON conversions
(over and above 750 (Seven Fifty) PDF to JSON conversions) shall
be payable at INR 30 (Rupees Thirty) per successful conversion.</t>
  </si>
  <si>
    <t>Yes.</t>
  </si>
  <si>
    <t>Name: Vishal Mody
Email: Vishal.Mody@indiabonds.com</t>
  </si>
  <si>
    <t>Name: Sameer Kumar
Email: sameer@casparser.in</t>
  </si>
  <si>
    <t>EXHIBITOR AGREEMENT</t>
  </si>
  <si>
    <t>TDFS3 Digital Fifth Private Limited</t>
  </si>
  <si>
    <t>India Bond Private Limited to be one of the EXHIBITORS in the Event and in return, avail EXHIBITOR Benefits in
accordance with the terms of this Agreement.</t>
  </si>
  <si>
    <t xml:space="preserve">Anushri Thakur 
anushri.thakur@indiabonds.com </t>
  </si>
  <si>
    <t>Sakshi Toprani 
sakshi.toprani@thedigitalfifth.com</t>
  </si>
  <si>
    <t>EXHIBITOR receiving the Benefits as detailed under Annexure I (Term) or till 15th May 2026 (Expiry Date) or till
termination of this Agreement whichever is earlier.</t>
  </si>
  <si>
    <t>Annexure II (INR 3,75,000/-)</t>
  </si>
  <si>
    <t>Logicserve Digital Consultancy Services Private Limited</t>
  </si>
  <si>
    <t>Ocean Finvest India Private Limited</t>
  </si>
  <si>
    <t>Saisaon Capital PTE</t>
  </si>
  <si>
    <t>IB Future Tech Private Limited</t>
  </si>
  <si>
    <t>5 Years + survival period of 3 years</t>
  </si>
  <si>
    <t>1 Year + survival period of 3 years</t>
  </si>
  <si>
    <t xml:space="preserve">Annexure B - Commercials </t>
  </si>
  <si>
    <t>Mr. Vishal Mody  
6th Floor, 605,Windsor, Off CST Road,
Mumbai- 400 098</t>
  </si>
  <si>
    <t>Mr. Tamil Selvan</t>
  </si>
  <si>
    <t>Technology Service Provider Agreement</t>
  </si>
  <si>
    <t>Perfios Software Solutions Private Limited</t>
  </si>
  <si>
    <t>Business Associate Agreement</t>
  </si>
  <si>
    <t>Annexure I - Order Form I</t>
  </si>
  <si>
    <t>three (3) years from the Effective Date</t>
  </si>
  <si>
    <t>4th Floor, Lasker, HM Vibha Towers, 66/525, Hosur Road, Chikku Lakshmaiah Layout, Adugodi, Bengaluru, Karnataka 560030
Email ID: ext-legal@perfios.com</t>
  </si>
  <si>
    <t>Ashit Raja
Address: 605, 6th Floor, Windsor, Off CST Road, Kalina, Santacruz (East), Mumbai, Maharashtra 400098, India
Email ID: api@indiabonds.com</t>
  </si>
  <si>
    <t>Digital Content Creation (Annexure A)</t>
  </si>
  <si>
    <t>Mr. Tamil Selvan
2/402-8, KANNAPPAN NAGAR, NEW HOUSING
BOARD, KRISHNAGIRI – 635002, TAMIL NADU</t>
  </si>
  <si>
    <t>Annexure A</t>
  </si>
  <si>
    <t>5 years unless terminated earlier by either party</t>
  </si>
  <si>
    <r>
      <t xml:space="preserve">payment of commission/ fee as prescribed in </t>
    </r>
    <r>
      <rPr>
        <b/>
        <sz val="12"/>
        <color theme="1"/>
        <rFont val="Calibri"/>
        <family val="2"/>
        <scheme val="minor"/>
      </rPr>
      <t>Annexure B</t>
    </r>
  </si>
  <si>
    <t xml:space="preserve">Shriram Finance Limited ,6th Floor (Level 2) Building No. Q2, Aurum Q Parc Gen 4/1TTC, Thane Belapur Road Ghansoli, Navi Mumbai – 400710
Telephone: 022-40957575 Email: ba.care@shriramfinance.in
</t>
  </si>
  <si>
    <t xml:space="preserve">605, 6th Floor, Windsor, Off CST Road, Kalina, Santacruz (East), Mumbai- 400 098
Telephone:9820221813 
Email:tech@indiabonds.com
</t>
  </si>
  <si>
    <t xml:space="preserve">Godrej Capital Limited </t>
  </si>
  <si>
    <t>INFOCUS-IT Consulting Private Limited</t>
  </si>
  <si>
    <r>
      <t>audit support services in connection with ISO/IEC 27001:2022 certification (</t>
    </r>
    <r>
      <rPr>
        <b/>
        <sz val="12"/>
        <color theme="1"/>
        <rFont val="Calibri"/>
        <family val="2"/>
        <scheme val="minor"/>
      </rPr>
      <t>Schedule A</t>
    </r>
    <r>
      <rPr>
        <sz val="12"/>
        <color theme="1"/>
        <rFont val="Calibri"/>
        <family val="2"/>
        <scheme val="minor"/>
      </rPr>
      <t>)</t>
    </r>
  </si>
  <si>
    <t>Perpetual ? To be confirmed..</t>
  </si>
  <si>
    <r>
      <t>INR 1,20,000/- (Indian Rupees One Lakh Twenty Thousand only) excluding taxes. 
(</t>
    </r>
    <r>
      <rPr>
        <b/>
        <sz val="12"/>
        <color theme="1"/>
        <rFont val="Calibri"/>
        <family val="2"/>
        <scheme val="minor"/>
      </rPr>
      <t>Schedule B</t>
    </r>
    <r>
      <rPr>
        <sz val="12"/>
        <color theme="1"/>
        <rFont val="Calibri"/>
        <family val="2"/>
        <scheme val="minor"/>
      </rPr>
      <t>)</t>
    </r>
  </si>
  <si>
    <t>Mr. Vishal Mody
605, 6th Floor,
Windsor, Off CST Road,
Kalina, Santacruz (East),
Mumbai- 400 098
Email ID – vishal.mody@indiabonds.com</t>
  </si>
  <si>
    <t>Mr. Jagbir Singh
INFOCUS IT CONSULTING PVT LTD
A – 19 Yadav Park,
New Delhi – 110041
Tel No. – 91-8800827932
Email ID – jagbir@infocus-it.com</t>
  </si>
  <si>
    <t>Shriram Finance Limited</t>
  </si>
  <si>
    <t xml:space="preserve">To source customers for Deposits through physical mode as well as online platform options. </t>
  </si>
  <si>
    <t>for a period of 5 years unless terminated earlier by either party. 
30 days notice</t>
  </si>
  <si>
    <t>Address: 605, 6th Floor, Windsor, Off CST Road, Kalina, Santacruz (East), Mumbai- 400 098
Telephone: 9820221813 
Email:tech@indiabonds.com</t>
  </si>
  <si>
    <t>2. The Sourcing Fee shall be payable at such rates as may be mutually agreed between the Parties from time to time.</t>
  </si>
  <si>
    <t>Address: Shriram Finance Limited, 6th Floor (Level 2) Building No. Q2, Aurum Q Parc Gen 4/1TTC, Thane Belapur Road Ghansoli, Navi Mumbai – 400710
Telephone: 022-40957575 Email: ba.care@shriramfinance.in</t>
  </si>
  <si>
    <t>Big Trunk Communications Pvt. Ltd</t>
  </si>
  <si>
    <t>1 Year + survival period of 1 years</t>
  </si>
  <si>
    <t>First Addendum to Service Agreement</t>
  </si>
  <si>
    <t>PAN Verification, PAN 360 &amp; Name Match</t>
  </si>
  <si>
    <t xml:space="preserve">Perpetual till terminated by
either Party as per terms of this Agreement
</t>
  </si>
  <si>
    <t>Annexure-2:
PAN Verification: INR 1
PAN 360: INR 2.50
Name Match: INR 0.50</t>
  </si>
  <si>
    <t>For Business Related-api@indiabonds.com
For Compliance related
compliance@indiabonds.com
For operations and related matters
.api@indiabonds.com</t>
  </si>
  <si>
    <t>For Legal related -
legal@cashfree.com
For Business Relatedcare@
cashfree.com
For Compliance related
care@cashfree.com
For operations and realted matters
care@cashfree.com</t>
  </si>
  <si>
    <t xml:space="preserve">Hurix Systems Private Limited </t>
  </si>
  <si>
    <t xml:space="preserve">Appointment as Auditor and independent service provider to perform comprehensive accessibility audit of the Customer's website and accessibility audit. </t>
  </si>
  <si>
    <t xml:space="preserve">shall remain in force until completion of Services under the applicable Statement of Work. </t>
  </si>
  <si>
    <t>As per the Statement of Work (INR 1,61,860)</t>
  </si>
  <si>
    <t xml:space="preserve">Legal related matters 
compliance@indiabonds.com
Tech related matters
tech@indiabonds.com </t>
  </si>
  <si>
    <t>Kind Attention: Manoj Gupta, AVP Finance
legal@hurix.com</t>
  </si>
  <si>
    <t>SIS Limited</t>
  </si>
  <si>
    <t xml:space="preserve">personnel / manpower/ security personnel and related manpower services for safeguarding office </t>
  </si>
  <si>
    <t>01st January 2026 to 31st December 2026</t>
  </si>
  <si>
    <t>As per Annexure I - INR 43,530</t>
  </si>
  <si>
    <t>Vishal Mody
admin@indiabonds.com</t>
  </si>
  <si>
    <t>Ashish Omprakash Singh
ashish2.singh@sisindia.com</t>
  </si>
  <si>
    <t>M/s. Digiwhistle</t>
  </si>
  <si>
    <t>shall remain in force for a period of twelve (12) months, unless earlier terminated in accordance with the provisions herein</t>
  </si>
  <si>
    <t>Annexure C - Commercials 
6 % of the total invoice amount raised in a month for Digital Educator and Awareness creators</t>
  </si>
  <si>
    <t>Mr. Sriram
605, 6th Floor, Windsor, Off CST Road,
Mumbai- 400 098
+91 90296 79643
Compliance@indiabonds.com –
For all legal and compliance related communications
marcom@indiabonds.com – For all other
communications</t>
  </si>
  <si>
    <t>Mr. Pratyush Singh
Office 814 &amp; 816, 8th Floor, Anthurium Noida, Sector 73
9599205975
pratyush@digiwhistle.com</t>
  </si>
  <si>
    <t xml:space="preserve">Non-Disclosure Agreement
</t>
  </si>
  <si>
    <t>Unitus Capital Private Limited</t>
  </si>
  <si>
    <t>1 Year + survival in perpetuity</t>
  </si>
  <si>
    <t xml:space="preserve">Agreement for Safe Storage Services </t>
  </si>
  <si>
    <t xml:space="preserve">StockHolding Document Management Services Limited </t>
  </si>
  <si>
    <t>Safekeeping of Documents</t>
  </si>
  <si>
    <t>as per Schedule C</t>
  </si>
  <si>
    <t>SHCIL House, P-51, TTC Industrial Area, MIDC Mahape, Navi Mumbai - 400710</t>
  </si>
  <si>
    <t>India Bond Private Limited, 30-39, 3rd Floor, Free Press House, Free Press Journal Marg, 215, Nariman Point, Mumbai - 400021</t>
  </si>
  <si>
    <t xml:space="preserve">TEAM Association </t>
  </si>
  <si>
    <t>IndiaBond’s participation in the Mumbai Tech Week 2026 (“Event”) as an official Participant</t>
  </si>
  <si>
    <t xml:space="preserve">INR 7,00,000 plus GST/taxes </t>
  </si>
  <si>
    <t>shall continue until the completion of the Deliverables or till 31st May 2026 (whichever is earlier).</t>
  </si>
  <si>
    <t xml:space="preserve">Kind Attention: Kanan Shah Kind Attention: Anushri Thakur
Email Id: kanan@mumbaitech.team Email Id: anushri.thakur@indiabonds.com
Address: : HD-290, WeWork, C 20, G-Block, BKC, Bandra East, Mumbai-400051 Address: 605, 6th Floor, Windsor, Off CST Road, Kalina, Santacruz (East), Mumbai - 400098
</t>
  </si>
  <si>
    <t xml:space="preserve">Kind Attention: Kanan Shah Kind Attention: Anushri Thakur
Email Id: kanan@mumbaitech.team Email Id: anushri.thakur@indiabonds.com
Address: : HD-290, WeWork, C 20, G-Block, BKC, Bandra East, Mumbai-400051 Address: 605, 6th Floor, Windsor, Off CST Road, Kalina, Santacruz (East), Mumbai - 400098
Mobile: 8879541712 Mobile:
</t>
  </si>
  <si>
    <t xml:space="preserve">Amendment and Accession Agreement </t>
  </si>
  <si>
    <t>22nd April, 2026</t>
  </si>
  <si>
    <t xml:space="preserve">India Bond Private Limited and IB Future Tech Private Limited </t>
  </si>
  <si>
    <t>access to its Darwinbox Human Resource Management Cloud Solution ("Software") wherein IB Future Tech is being introcued as a party</t>
  </si>
  <si>
    <t>India Bond INR 6,40,000/-p.a. for 120 users and 2,500/- per user post 120 users.      IB Future Tech INR 1,60,000/- p.a. for 30 users and  2,500/- per user post 30 users.</t>
  </si>
  <si>
    <t xml:space="preserve">Account Aggregator Service Agreement </t>
  </si>
  <si>
    <t>16th April, 2026</t>
  </si>
  <si>
    <t>Finsec AA solutions private limited</t>
  </si>
  <si>
    <t>Provide account aggregator services</t>
  </si>
  <si>
    <t>3 (three) years and will be renewed by one year at option of IB</t>
  </si>
  <si>
    <t>consideration as per BrokenTusk Technologies Pvt Ltd  and IB</t>
  </si>
  <si>
    <t xml:space="preserve">Compliance officer </t>
  </si>
  <si>
    <t>Vishal Mody</t>
  </si>
  <si>
    <t>Ernst &amp; Young LLP</t>
  </si>
  <si>
    <t>advising on raising of equity</t>
  </si>
  <si>
    <t>1 Year + survival in perpetuity for trade secrets and PII. Rest 2 years + 1 year of term</t>
  </si>
  <si>
    <t>Swami Samarth Facility</t>
  </si>
  <si>
    <t xml:space="preserve">1 year w.e.f 1st April, 2026 </t>
  </si>
  <si>
    <t xml:space="preserve">Providing manpower i.e  2 (two)Pantry Boys </t>
  </si>
  <si>
    <t>1 pantry boy INR 26,423/- pm and 2 pantry boy INR 25,855/- pm</t>
  </si>
  <si>
    <t xml:space="preserve"> </t>
  </si>
  <si>
    <t xml:space="preserve">TechD cyber security Ltd </t>
  </si>
  <si>
    <t>11th May, 2026</t>
  </si>
  <si>
    <t>providing cyber Security and Resilience Audit, VAPT</t>
  </si>
  <si>
    <t>1 year w.e.f. 11th may, 2026</t>
  </si>
  <si>
    <t>Total INR 3,50,000/-</t>
  </si>
  <si>
    <t>Finance with Sharan</t>
  </si>
  <si>
    <t>Providing Digital  eductaor and Awareness cerators</t>
  </si>
  <si>
    <t xml:space="preserve">8% of the total invoivce amount </t>
  </si>
  <si>
    <t>7th May, 2026</t>
  </si>
  <si>
    <t xml:space="preserve">for providing platform </t>
  </si>
  <si>
    <t xml:space="preserve">Platform Agreement </t>
  </si>
  <si>
    <t xml:space="preserve">IndiaBond Money Pvt Ltd </t>
  </si>
  <si>
    <t>5th Nov, 2025</t>
  </si>
  <si>
    <t>Free upto 6  months and Rs 200 or as mutually agreed per client upon sucessful purchase of TPP</t>
  </si>
  <si>
    <t>no</t>
  </si>
  <si>
    <t>20th May, 2026</t>
  </si>
  <si>
    <t>2nd addendum agreement</t>
  </si>
  <si>
    <t>Skillr Talent Private Limited (Fundamento)</t>
  </si>
  <si>
    <t xml:space="preserve">Addendum to incorporate additional services </t>
  </si>
  <si>
    <t>term extended by 1 more year from earlier  term of 1year expiring on 15th Oct, 2026</t>
  </si>
  <si>
    <t xml:space="preserve">as provided </t>
  </si>
  <si>
    <t xml:space="preserve">4th Addendum to the Outsourcing agreement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</si>
</sst>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d\-mmm\-yy;@"/>
  </numFmts>
  <fonts count="9" x14ac:knownFonts="1">
    <font>
      <sz val="11"/>
      <color theme="1"/>
      <name val="Calibri"/>
      <family val="2"/>
      <scheme val="minor"/>
    </font>
    <font>
      <b/>
      <sz val="10.5"/>
      <color theme="1"/>
      <name val="Calibri"/>
      <family val="2"/>
      <scheme val="minor"/>
    </font>
    <font>
      <sz val="10.5"/>
      <color theme="1"/>
      <name val="Calibri"/>
      <family val="2"/>
      <scheme val="minor"/>
    </font>
    <font>
      <b/>
      <sz val="10.5"/>
      <color theme="0"/>
      <name val="Calibri"/>
      <family val="2"/>
      <scheme val="minor"/>
    </font>
    <font>
      <b/>
      <sz val="12"/>
      <color theme="1"/>
      <name val="Calibri"/>
      <family val="2"/>
      <scheme val="minor"/>
    </font>
    <font>
      <sz val="12"/>
      <color theme="1"/>
      <name val="Calibri"/>
      <family val="2"/>
      <scheme val="minor"/>
    </font>
    <font>
      <sz val="12"/>
      <color rgb="FF000000"/>
      <name val="Arial Narrow"/>
      <family val="2"/>
    </font>
    <font>
      <sz val="10.5"/>
      <color rgb="FF000000"/>
      <name val="Calibri"/>
      <family val="2"/>
      <scheme val="minor"/>
    </font>
    <font>
      <sz val="12"/>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002060"/>
        <bgColor indexed="64"/>
      </patternFill>
    </fill>
    <fill>
      <patternFill patternType="solid">
        <fgColor theme="9"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9">
    <xf numFmtId="0" fontId="0" fillId="0" borderId="0" xfId="0"/>
    <xf numFmtId="0" fontId="1" fillId="0" borderId="1" xfId="0" applyFont="1" applyBorder="1" applyAlignment="1">
      <alignment horizontal="justify" vertical="top" wrapText="1"/>
    </xf>
    <xf numFmtId="0" fontId="1" fillId="0" borderId="1" xfId="0" applyFont="1" applyBorder="1" applyAlignment="1">
      <alignment horizontal="center" vertical="top" wrapText="1"/>
    </xf>
    <xf numFmtId="0" fontId="1" fillId="0" borderId="1" xfId="0" applyFont="1" applyFill="1" applyBorder="1" applyAlignment="1">
      <alignment horizontal="center" vertical="top" wrapText="1"/>
    </xf>
    <xf numFmtId="0" fontId="2" fillId="0" borderId="1" xfId="0" applyFont="1" applyFill="1" applyBorder="1" applyAlignment="1">
      <alignment horizontal="center" vertical="top"/>
    </xf>
    <xf numFmtId="0" fontId="2" fillId="0" borderId="1" xfId="0" applyFont="1" applyBorder="1" applyAlignment="1">
      <alignment horizontal="justify" vertical="top" wrapText="1"/>
    </xf>
    <xf numFmtId="164" fontId="2" fillId="0" borderId="1" xfId="0" applyNumberFormat="1" applyFont="1" applyBorder="1" applyAlignment="1">
      <alignment horizontal="center" vertical="top"/>
    </xf>
    <xf numFmtId="0" fontId="2" fillId="0" borderId="1" xfId="0" applyFont="1" applyBorder="1" applyAlignment="1">
      <alignment vertical="top" wrapText="1"/>
    </xf>
    <xf numFmtId="0" fontId="2" fillId="0" borderId="1" xfId="0" applyFont="1" applyBorder="1" applyAlignment="1">
      <alignment horizontal="center" vertical="top" wrapText="1"/>
    </xf>
    <xf numFmtId="0" fontId="2" fillId="0" borderId="1" xfId="0" applyFont="1" applyBorder="1" applyAlignment="1">
      <alignment horizontal="center" vertical="top"/>
    </xf>
    <xf numFmtId="0" fontId="2" fillId="0" borderId="1" xfId="0" applyFont="1" applyBorder="1" applyAlignment="1">
      <alignment horizontal="left" vertical="top" wrapText="1"/>
    </xf>
    <xf numFmtId="0" fontId="2" fillId="0" borderId="1" xfId="0" applyFont="1" applyBorder="1"/>
    <xf numFmtId="0" fontId="2" fillId="0" borderId="1" xfId="0" applyFont="1" applyBorder="1" applyAlignment="1">
      <alignment horizontal="left" vertical="top"/>
    </xf>
    <xf numFmtId="164" fontId="2" fillId="2" borderId="1" xfId="0" applyNumberFormat="1" applyFont="1" applyFill="1" applyBorder="1" applyAlignment="1">
      <alignment horizontal="center" vertical="top"/>
    </xf>
    <xf numFmtId="0" fontId="2" fillId="0" borderId="1" xfId="0" applyFont="1" applyFill="1" applyBorder="1" applyAlignment="1">
      <alignment horizontal="left" vertical="top"/>
    </xf>
    <xf numFmtId="0" fontId="2" fillId="2" borderId="1" xfId="0" applyFont="1" applyFill="1" applyBorder="1" applyAlignment="1">
      <alignment horizontal="center" vertical="top" wrapText="1"/>
    </xf>
    <xf numFmtId="0" fontId="2" fillId="0" borderId="1" xfId="0" applyFont="1" applyBorder="1" applyAlignment="1">
      <alignment horizontal="justify" vertical="top"/>
    </xf>
    <xf numFmtId="0" fontId="0" fillId="0" borderId="0" xfId="0" applyAlignment="1">
      <alignment wrapText="1"/>
    </xf>
    <xf numFmtId="0" fontId="3" fillId="3" borderId="1" xfId="0" applyFont="1" applyFill="1" applyBorder="1" applyAlignment="1">
      <alignment horizontal="center" vertical="top" wrapText="1"/>
    </xf>
    <xf numFmtId="0" fontId="2" fillId="0" borderId="1" xfId="0" applyFont="1" applyFill="1" applyBorder="1" applyAlignment="1">
      <alignment horizontal="center" vertical="top" wrapText="1"/>
    </xf>
    <xf numFmtId="0" fontId="0" fillId="0" borderId="1" xfId="0" applyFill="1" applyBorder="1"/>
    <xf numFmtId="0" fontId="3"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0" fillId="0" borderId="0" xfId="0" applyAlignment="1">
      <alignment vertical="center"/>
    </xf>
    <xf numFmtId="0" fontId="2" fillId="0" borderId="1" xfId="0" applyFont="1" applyFill="1" applyBorder="1" applyAlignment="1">
      <alignment horizontal="justify" vertical="top" wrapText="1"/>
    </xf>
    <xf numFmtId="15" fontId="0" fillId="0" borderId="1" xfId="0" applyNumberFormat="1" applyBorder="1" applyAlignment="1">
      <alignment horizontal="center"/>
    </xf>
    <xf numFmtId="0" fontId="2" fillId="0" borderId="1" xfId="0" applyFont="1" applyFill="1" applyBorder="1" applyAlignment="1">
      <alignment horizontal="justify" vertical="top"/>
    </xf>
    <xf numFmtId="0" fontId="0" fillId="0" borderId="1" xfId="0" applyBorder="1" applyAlignment="1">
      <alignment wrapText="1"/>
    </xf>
    <xf numFmtId="0" fontId="0" fillId="0" borderId="1" xfId="0" applyBorder="1" applyAlignment="1">
      <alignment horizontal="center" vertical="top" wrapText="1"/>
    </xf>
    <xf numFmtId="0" fontId="0" fillId="0" borderId="1" xfId="0" applyFill="1" applyBorder="1" applyAlignment="1">
      <alignment wrapText="1"/>
    </xf>
    <xf numFmtId="0" fontId="0" fillId="0" borderId="1" xfId="0" applyBorder="1"/>
    <xf numFmtId="0" fontId="3" fillId="3" borderId="1" xfId="0" applyFont="1" applyFill="1" applyBorder="1" applyAlignment="1">
      <alignment horizontal="center" vertical="top"/>
    </xf>
    <xf numFmtId="164" fontId="2" fillId="0" borderId="1" xfId="0" applyNumberFormat="1" applyFont="1" applyFill="1" applyBorder="1" applyAlignment="1">
      <alignment horizontal="center" vertical="top"/>
    </xf>
    <xf numFmtId="0" fontId="0" fillId="0" borderId="1" xfId="0" applyBorder="1" applyAlignment="1">
      <alignment horizontal="center" vertical="center" wrapText="1"/>
    </xf>
    <xf numFmtId="0" fontId="2" fillId="0" borderId="1" xfId="0" applyFont="1" applyBorder="1" applyAlignment="1">
      <alignment horizontal="center"/>
    </xf>
    <xf numFmtId="0" fontId="2" fillId="0" borderId="1" xfId="0" applyFont="1" applyBorder="1" applyAlignment="1">
      <alignment vertical="center" wrapText="1"/>
    </xf>
    <xf numFmtId="0" fontId="2" fillId="0" borderId="1" xfId="0" applyFont="1" applyBorder="1" applyAlignment="1">
      <alignment vertical="top"/>
    </xf>
    <xf numFmtId="0" fontId="2" fillId="0" borderId="1" xfId="0" applyFont="1" applyBorder="1" applyAlignment="1">
      <alignment horizontal="center" wrapText="1"/>
    </xf>
    <xf numFmtId="0" fontId="2" fillId="0" borderId="0" xfId="0" applyFont="1" applyBorder="1" applyAlignment="1">
      <alignment horizontal="center"/>
    </xf>
    <xf numFmtId="0" fontId="2" fillId="0" borderId="0" xfId="0" applyFont="1" applyBorder="1"/>
    <xf numFmtId="164" fontId="2" fillId="0" borderId="1" xfId="0" applyNumberFormat="1" applyFont="1" applyFill="1" applyBorder="1" applyAlignment="1">
      <alignment horizontal="center"/>
    </xf>
    <xf numFmtId="0" fontId="2" fillId="0" borderId="2" xfId="0" applyFont="1" applyBorder="1" applyAlignment="1">
      <alignment horizontal="center"/>
    </xf>
    <xf numFmtId="0" fontId="2" fillId="0" borderId="1" xfId="0" applyFont="1" applyBorder="1" applyAlignment="1"/>
    <xf numFmtId="0" fontId="2" fillId="0" borderId="2" xfId="0" applyFont="1" applyBorder="1" applyAlignment="1"/>
    <xf numFmtId="0" fontId="0" fillId="0" borderId="1" xfId="0" applyBorder="1" applyAlignment="1">
      <alignment horizontal="center" vertical="center"/>
    </xf>
    <xf numFmtId="0" fontId="0" fillId="0" borderId="0" xfId="0" applyBorder="1"/>
    <xf numFmtId="0" fontId="2" fillId="0" borderId="0" xfId="0" applyFont="1" applyFill="1" applyBorder="1" applyAlignment="1">
      <alignment horizontal="center"/>
    </xf>
    <xf numFmtId="0" fontId="0" fillId="0" borderId="0" xfId="0" applyBorder="1" applyAlignment="1">
      <alignment wrapText="1"/>
    </xf>
    <xf numFmtId="0" fontId="4" fillId="0" borderId="1" xfId="0" applyFont="1" applyBorder="1" applyAlignment="1">
      <alignment horizontal="center" vertical="top" wrapText="1"/>
    </xf>
    <xf numFmtId="0" fontId="4" fillId="0" borderId="1" xfId="0" applyFont="1" applyBorder="1" applyAlignment="1">
      <alignment horizontal="justify" vertical="top" wrapText="1"/>
    </xf>
    <xf numFmtId="0" fontId="4" fillId="0" borderId="1" xfId="0" applyFont="1" applyFill="1" applyBorder="1" applyAlignment="1">
      <alignment horizontal="center" vertical="top" wrapText="1"/>
    </xf>
    <xf numFmtId="0" fontId="5" fillId="0" borderId="1" xfId="0" applyFont="1" applyFill="1" applyBorder="1" applyAlignment="1">
      <alignment horizontal="center" vertical="top"/>
    </xf>
    <xf numFmtId="0" fontId="5" fillId="0" borderId="1" xfId="0" applyFont="1" applyFill="1" applyBorder="1" applyAlignment="1">
      <alignment horizontal="justify" vertical="top" wrapText="1"/>
    </xf>
    <xf numFmtId="164" fontId="5" fillId="0" borderId="1" xfId="0" applyNumberFormat="1" applyFont="1" applyFill="1" applyBorder="1" applyAlignment="1">
      <alignment horizontal="center" vertical="top"/>
    </xf>
    <xf numFmtId="0" fontId="5" fillId="0" borderId="1" xfId="0" applyFont="1" applyFill="1" applyBorder="1" applyAlignment="1">
      <alignment horizontal="justify" vertical="top"/>
    </xf>
    <xf numFmtId="0" fontId="5" fillId="0" borderId="1" xfId="0" applyFont="1" applyFill="1" applyBorder="1" applyAlignment="1">
      <alignment horizontal="left" vertical="top" wrapText="1"/>
    </xf>
    <xf numFmtId="0" fontId="5" fillId="0" borderId="1" xfId="0" applyFont="1" applyFill="1" applyBorder="1" applyAlignment="1">
      <alignment vertical="top" wrapText="1"/>
    </xf>
    <xf numFmtId="0" fontId="5" fillId="0" borderId="1" xfId="0" applyFont="1" applyBorder="1" applyAlignment="1">
      <alignment horizontal="center" vertical="justify" wrapText="1"/>
    </xf>
    <xf numFmtId="0" fontId="5" fillId="0" borderId="1" xfId="0" applyFont="1" applyFill="1" applyBorder="1" applyAlignment="1">
      <alignment horizontal="center" vertical="top" wrapText="1"/>
    </xf>
    <xf numFmtId="0" fontId="5" fillId="0" borderId="1" xfId="0" applyFont="1" applyBorder="1"/>
    <xf numFmtId="0" fontId="5" fillId="0" borderId="1" xfId="0" applyFont="1" applyBorder="1" applyAlignment="1">
      <alignment horizontal="justify" vertical="top" wrapText="1"/>
    </xf>
    <xf numFmtId="164" fontId="5" fillId="0" borderId="1" xfId="0" applyNumberFormat="1" applyFont="1" applyBorder="1" applyAlignment="1">
      <alignment horizontal="center" vertical="top"/>
    </xf>
    <xf numFmtId="0" fontId="5" fillId="0" borderId="1" xfId="0" applyFont="1" applyBorder="1" applyAlignment="1">
      <alignment horizontal="justify" vertical="top"/>
    </xf>
    <xf numFmtId="0" fontId="5" fillId="0" borderId="1" xfId="0" applyFont="1" applyBorder="1" applyAlignment="1">
      <alignment horizontal="center" vertical="top"/>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5" fillId="0" borderId="1" xfId="0" applyFont="1" applyFill="1" applyBorder="1" applyAlignment="1">
      <alignment vertical="center" wrapText="1"/>
    </xf>
    <xf numFmtId="0" fontId="5" fillId="0" borderId="1" xfId="0" applyFont="1" applyFill="1" applyBorder="1" applyAlignment="1">
      <alignment vertical="top"/>
    </xf>
    <xf numFmtId="15" fontId="5" fillId="0" borderId="1" xfId="0" applyNumberFormat="1" applyFont="1" applyBorder="1" applyAlignment="1">
      <alignment horizontal="center" vertical="top" wrapText="1"/>
    </xf>
    <xf numFmtId="0" fontId="5" fillId="2" borderId="1" xfId="0" applyFont="1" applyFill="1" applyBorder="1" applyAlignment="1">
      <alignment horizontal="justify" wrapText="1"/>
    </xf>
    <xf numFmtId="0" fontId="5" fillId="2" borderId="1" xfId="0" applyFont="1" applyFill="1" applyBorder="1" applyAlignment="1">
      <alignment horizontal="justify" vertical="top" wrapText="1"/>
    </xf>
    <xf numFmtId="0" fontId="5" fillId="0" borderId="1" xfId="0" applyFont="1" applyBorder="1" applyAlignment="1">
      <alignment vertical="top"/>
    </xf>
    <xf numFmtId="0" fontId="5" fillId="0" borderId="1" xfId="0" applyFont="1" applyBorder="1" applyAlignment="1">
      <alignment horizontal="left" vertical="top"/>
    </xf>
    <xf numFmtId="0" fontId="5" fillId="0" borderId="1" xfId="0" applyFont="1" applyBorder="1" applyAlignment="1">
      <alignment wrapText="1"/>
    </xf>
    <xf numFmtId="0" fontId="5" fillId="0" borderId="0" xfId="0" applyFont="1" applyBorder="1" applyAlignment="1">
      <alignment wrapText="1"/>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vertical="top" wrapText="1"/>
    </xf>
    <xf numFmtId="0" fontId="6" fillId="0" borderId="1" xfId="0" applyFont="1" applyBorder="1" applyAlignment="1">
      <alignment horizontal="left" vertical="top"/>
    </xf>
    <xf numFmtId="3" fontId="5" fillId="0" borderId="1" xfId="0" applyNumberFormat="1" applyFont="1" applyBorder="1" applyAlignment="1">
      <alignment horizontal="center" vertical="top"/>
    </xf>
    <xf numFmtId="0" fontId="5" fillId="2" borderId="1" xfId="0" applyFont="1" applyFill="1" applyBorder="1" applyAlignment="1">
      <alignment horizontal="left" vertical="top" wrapText="1"/>
    </xf>
    <xf numFmtId="15" fontId="5" fillId="0" borderId="1" xfId="0" applyNumberFormat="1" applyFont="1" applyBorder="1" applyAlignment="1">
      <alignment wrapText="1"/>
    </xf>
    <xf numFmtId="0" fontId="4"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Fill="1" applyBorder="1" applyAlignment="1">
      <alignment horizontal="center" vertical="center" wrapText="1"/>
    </xf>
    <xf numFmtId="0" fontId="5" fillId="2" borderId="1" xfId="0" applyFont="1" applyFill="1" applyBorder="1" applyAlignment="1">
      <alignment horizontal="left" vertical="center"/>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0" fontId="5" fillId="2" borderId="1" xfId="0" applyFont="1" applyFill="1" applyBorder="1" applyAlignment="1">
      <alignment horizontal="left" vertical="center" wrapText="1"/>
    </xf>
    <xf numFmtId="164" fontId="5" fillId="2" borderId="1" xfId="0" applyNumberFormat="1" applyFont="1" applyFill="1" applyBorder="1" applyAlignment="1">
      <alignment horizontal="center" vertical="top"/>
    </xf>
    <xf numFmtId="0" fontId="5" fillId="2" borderId="1" xfId="0" applyFont="1" applyFill="1" applyBorder="1" applyAlignment="1">
      <alignment horizontal="center" vertical="top" wrapText="1"/>
    </xf>
    <xf numFmtId="0" fontId="5" fillId="2" borderId="1" xfId="0" applyFont="1" applyFill="1" applyBorder="1" applyAlignment="1">
      <alignment horizontal="center" vertical="top"/>
    </xf>
    <xf numFmtId="0" fontId="5" fillId="2" borderId="1" xfId="0" applyFont="1" applyFill="1" applyBorder="1" applyAlignment="1">
      <alignment wrapText="1"/>
    </xf>
    <xf numFmtId="0" fontId="5" fillId="2" borderId="1" xfId="0" applyFont="1" applyFill="1" applyBorder="1" applyAlignment="1">
      <alignment horizontal="left" vertical="top"/>
    </xf>
    <xf numFmtId="164" fontId="5" fillId="0" borderId="1" xfId="0" applyNumberFormat="1" applyFont="1" applyBorder="1" applyAlignment="1">
      <alignment horizontal="center" vertical="top" wrapText="1"/>
    </xf>
    <xf numFmtId="0" fontId="0" fillId="0" borderId="1" xfId="0" applyBorder="1" applyAlignment="1"/>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164" fontId="5" fillId="4" borderId="1" xfId="0" applyNumberFormat="1" applyFont="1" applyFill="1" applyBorder="1" applyAlignment="1">
      <alignment horizontal="center" vertical="top"/>
    </xf>
    <xf numFmtId="0" fontId="5" fillId="4" borderId="1" xfId="0" applyFont="1" applyFill="1" applyBorder="1" applyAlignment="1">
      <alignment horizontal="justify" vertical="top"/>
    </xf>
    <xf numFmtId="0" fontId="5" fillId="4" borderId="1" xfId="0" applyFont="1" applyFill="1" applyBorder="1" applyAlignment="1">
      <alignment horizontal="left" vertical="top" wrapText="1"/>
    </xf>
    <xf numFmtId="0" fontId="5" fillId="4" borderId="1" xfId="0" applyFont="1" applyFill="1" applyBorder="1" applyAlignment="1">
      <alignment horizontal="center" vertical="top" wrapText="1"/>
    </xf>
    <xf numFmtId="0" fontId="5" fillId="4" borderId="1" xfId="0" applyFont="1" applyFill="1" applyBorder="1" applyAlignment="1">
      <alignment horizontal="center" vertical="top"/>
    </xf>
    <xf numFmtId="0" fontId="5" fillId="4" borderId="1" xfId="0" applyFont="1" applyFill="1" applyBorder="1" applyAlignment="1">
      <alignment wrapText="1"/>
    </xf>
    <xf numFmtId="0" fontId="5" fillId="4" borderId="1" xfId="0" applyFont="1" applyFill="1" applyBorder="1" applyAlignment="1">
      <alignment horizontal="justify" vertical="top" wrapText="1"/>
    </xf>
    <xf numFmtId="0" fontId="5" fillId="0" borderId="1" xfId="0" applyFont="1" applyFill="1" applyBorder="1" applyAlignment="1">
      <alignment wrapText="1"/>
    </xf>
    <xf numFmtId="164" fontId="2" fillId="0" borderId="3" xfId="0" applyNumberFormat="1" applyFont="1" applyFill="1" applyBorder="1" applyAlignment="1">
      <alignment horizontal="center" vertical="top"/>
    </xf>
    <xf numFmtId="0" fontId="5" fillId="0" borderId="3" xfId="0" applyFont="1" applyBorder="1" applyAlignment="1">
      <alignment wrapText="1"/>
    </xf>
    <xf numFmtId="0" fontId="2" fillId="0" borderId="3" xfId="0" applyFont="1" applyBorder="1" applyAlignment="1">
      <alignment horizontal="left" vertical="top" wrapText="1"/>
    </xf>
    <xf numFmtId="0" fontId="2" fillId="0" borderId="3" xfId="0" applyFont="1" applyBorder="1" applyAlignment="1">
      <alignment horizontal="center" vertical="top"/>
    </xf>
    <xf numFmtId="0" fontId="7" fillId="0" borderId="1" xfId="0" applyFont="1" applyBorder="1" applyAlignment="1">
      <alignment horizontal="center" vertical="center"/>
    </xf>
    <xf numFmtId="0" fontId="5" fillId="0" borderId="1" xfId="0" applyFont="1" applyFill="1" applyBorder="1" applyAlignment="1">
      <alignment horizontal="left" vertical="center" wrapText="1"/>
    </xf>
    <xf numFmtId="0" fontId="7" fillId="0" borderId="1" xfId="0" applyFont="1" applyBorder="1" applyAlignment="1">
      <alignment horizontal="center" vertical="center" wrapText="1"/>
    </xf>
    <xf numFmtId="164" fontId="2" fillId="0" borderId="0" xfId="0" applyNumberFormat="1" applyFont="1" applyFill="1" applyBorder="1" applyAlignment="1">
      <alignment horizontal="center" vertical="top"/>
    </xf>
    <xf numFmtId="0" fontId="0" fillId="0" borderId="1" xfId="0" applyBorder="1" applyAlignment="1">
      <alignment vertical="top" wrapText="1"/>
    </xf>
    <xf numFmtId="0" fontId="0" fillId="0" borderId="2" xfId="0" applyFill="1" applyBorder="1" applyAlignment="1">
      <alignment wrapText="1"/>
    </xf>
    <xf numFmtId="0" fontId="2" fillId="0" borderId="3" xfId="0" applyFont="1" applyBorder="1" applyAlignment="1">
      <alignment horizontal="justify" vertical="top" wrapText="1"/>
    </xf>
    <xf numFmtId="164" fontId="2" fillId="0" borderId="3" xfId="0" applyNumberFormat="1" applyFont="1" applyBorder="1" applyAlignment="1">
      <alignment horizontal="center" vertical="top"/>
    </xf>
    <xf numFmtId="0" fontId="0" fillId="0" borderId="3" xfId="0" applyFill="1" applyBorder="1"/>
    <xf numFmtId="0" fontId="4" fillId="0" borderId="1" xfId="0" applyFont="1" applyBorder="1" applyAlignment="1">
      <alignment wrapText="1"/>
    </xf>
    <xf numFmtId="0" fontId="8" fillId="0" borderId="1" xfId="0" applyFont="1" applyBorder="1" applyAlignment="1">
      <alignment wrapText="1"/>
    </xf>
    <xf numFmtId="164" fontId="2" fillId="0" borderId="1" xfId="0" applyNumberFormat="1" applyFont="1" applyFill="1" applyBorder="1" applyAlignment="1">
      <alignment horizontal="center" vertical="center"/>
    </xf>
    <xf numFmtId="0" fontId="5" fillId="0" borderId="0" xfId="0" applyFont="1" applyBorder="1" applyAlignment="1">
      <alignment vertical="center" wrapText="1"/>
    </xf>
    <xf numFmtId="0" fontId="5" fillId="0" borderId="3" xfId="0" applyFont="1" applyBorder="1" applyAlignment="1">
      <alignment horizontal="center" vertical="center" wrapText="1"/>
    </xf>
    <xf numFmtId="0" fontId="5" fillId="0" borderId="3" xfId="0" applyFont="1" applyBorder="1" applyAlignment="1">
      <alignment vertical="center" wrapText="1"/>
    </xf>
    <xf numFmtId="0" fontId="8" fillId="2" borderId="4" xfId="0" applyFont="1" applyFill="1" applyBorder="1" applyAlignment="1">
      <alignment horizontal="center" wrapText="1"/>
    </xf>
    <xf numFmtId="0" fontId="8" fillId="2" borderId="5" xfId="0" applyFont="1" applyFill="1" applyBorder="1" applyAlignment="1">
      <alignment horizontal="center" wrapText="1"/>
    </xf>
    <xf numFmtId="0" fontId="8" fillId="2" borderId="6" xfId="0" applyFont="1" applyFill="1" applyBorder="1" applyAlignment="1">
      <alignment horizontal="center" wrapText="1"/>
    </xf>
  </cellXfs>
  <cellStyles count="1">
    <cellStyle name="Normal" xfId="0" builtinId="0"/>
  </cellStyles>
  <dxfs count="17">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B1:P124"/>
  <sheetViews>
    <sheetView tabSelected="1" topLeftCell="C1" zoomScale="71" zoomScaleNormal="71" workbookViewId="0">
      <pane ySplit="1" topLeftCell="A113" activePane="bottomLeft" state="frozen"/>
      <selection activeCell="E1" sqref="E1"/>
      <selection pane="bottomLeft" activeCell="C113" sqref="C113"/>
    </sheetView>
  </sheetViews>
  <sheetFormatPr defaultColWidth="9.1796875" defaultRowHeight="15.5" x14ac:dyDescent="0.35"/>
  <cols>
    <col min="1" max="1" width="9.1796875" style="75"/>
    <col min="2" max="2" width="6.81640625" style="75" bestFit="1" customWidth="1"/>
    <col min="3" max="3" width="17.7265625" style="75" customWidth="1"/>
    <col min="4" max="4" width="12.54296875" style="75" bestFit="1" customWidth="1"/>
    <col min="5" max="5" width="24.453125" style="75" bestFit="1" customWidth="1"/>
    <col min="6" max="6" width="22.453125" style="75" bestFit="1" customWidth="1"/>
    <col min="7" max="7" width="23.7265625" style="75" customWidth="1"/>
    <col min="8" max="8" width="19.81640625" style="75" bestFit="1" customWidth="1"/>
    <col min="9" max="9" width="21.453125" style="75" customWidth="1"/>
    <col min="10" max="10" width="14.54296875" style="75" customWidth="1"/>
    <col min="11" max="11" width="18.453125" style="75" customWidth="1"/>
    <col min="12" max="12" width="21" style="75" customWidth="1"/>
    <col min="13" max="13" width="28.26953125" style="75" customWidth="1"/>
    <col min="14" max="16384" width="9.1796875" style="75"/>
  </cols>
  <sheetData>
    <row r="1" spans="2:13" ht="46.5" x14ac:dyDescent="0.35">
      <c r="B1" s="83" t="s">
        <v>0</v>
      </c>
      <c r="C1" s="84" t="s">
        <v>1</v>
      </c>
      <c r="D1" s="83" t="s">
        <v>2</v>
      </c>
      <c r="E1" s="83" t="s">
        <v>115</v>
      </c>
      <c r="F1" s="83" t="s">
        <v>4</v>
      </c>
      <c r="G1" s="83" t="s">
        <v>5</v>
      </c>
      <c r="H1" s="83" t="s">
        <v>6</v>
      </c>
      <c r="I1" s="83" t="s">
        <v>7</v>
      </c>
      <c r="J1" s="85" t="s">
        <v>8</v>
      </c>
      <c r="K1" s="85" t="s">
        <v>626</v>
      </c>
      <c r="L1" s="85" t="s">
        <v>11</v>
      </c>
      <c r="M1" s="83" t="s">
        <v>12</v>
      </c>
    </row>
    <row r="2" spans="2:13" ht="186" x14ac:dyDescent="0.35">
      <c r="B2" s="76">
        <v>1</v>
      </c>
      <c r="C2" s="87" t="s">
        <v>178</v>
      </c>
      <c r="D2" s="62">
        <v>44235</v>
      </c>
      <c r="E2" s="63" t="s">
        <v>14</v>
      </c>
      <c r="F2" s="61" t="s">
        <v>179</v>
      </c>
      <c r="G2" s="66" t="s">
        <v>543</v>
      </c>
      <c r="H2" s="65" t="s">
        <v>180</v>
      </c>
      <c r="I2" s="66" t="s">
        <v>523</v>
      </c>
      <c r="J2" s="64" t="s">
        <v>19</v>
      </c>
      <c r="K2" s="66" t="s">
        <v>508</v>
      </c>
      <c r="L2" s="65" t="s">
        <v>181</v>
      </c>
      <c r="M2" s="66" t="s">
        <v>522</v>
      </c>
    </row>
    <row r="3" spans="2:13" ht="155" x14ac:dyDescent="0.35">
      <c r="B3" s="76">
        <f>B2+1</f>
        <v>2</v>
      </c>
      <c r="C3" s="86" t="s">
        <v>162</v>
      </c>
      <c r="D3" s="54">
        <v>44235</v>
      </c>
      <c r="E3" s="55" t="s">
        <v>163</v>
      </c>
      <c r="F3" s="55" t="s">
        <v>164</v>
      </c>
      <c r="G3" s="59" t="s">
        <v>165</v>
      </c>
      <c r="H3" s="56" t="s">
        <v>519</v>
      </c>
      <c r="I3" s="52" t="s">
        <v>166</v>
      </c>
      <c r="J3" s="52" t="s">
        <v>140</v>
      </c>
      <c r="K3" s="59" t="s">
        <v>507</v>
      </c>
      <c r="L3" s="56" t="s">
        <v>168</v>
      </c>
      <c r="M3" s="53" t="s">
        <v>169</v>
      </c>
    </row>
    <row r="4" spans="2:13" ht="108.5" x14ac:dyDescent="0.35">
      <c r="B4" s="76">
        <f>B3+1</f>
        <v>3</v>
      </c>
      <c r="C4" s="112" t="s">
        <v>865</v>
      </c>
      <c r="D4" s="54">
        <v>43672</v>
      </c>
      <c r="E4" s="55" t="s">
        <v>14</v>
      </c>
      <c r="F4" s="55" t="s">
        <v>866</v>
      </c>
      <c r="G4" s="59" t="s">
        <v>867</v>
      </c>
      <c r="H4" s="56" t="s">
        <v>44</v>
      </c>
      <c r="I4" s="52" t="s">
        <v>868</v>
      </c>
      <c r="J4" s="52" t="s">
        <v>330</v>
      </c>
      <c r="K4" s="59" t="s">
        <v>870</v>
      </c>
      <c r="L4" s="59" t="s">
        <v>869</v>
      </c>
      <c r="M4" s="53"/>
    </row>
    <row r="5" spans="2:13" ht="124" x14ac:dyDescent="0.35">
      <c r="B5" s="76">
        <f>B4+1</f>
        <v>4</v>
      </c>
      <c r="C5" s="87" t="s">
        <v>193</v>
      </c>
      <c r="D5" s="62">
        <v>44265</v>
      </c>
      <c r="E5" s="61" t="s">
        <v>194</v>
      </c>
      <c r="F5" s="63" t="s">
        <v>195</v>
      </c>
      <c r="G5" s="64" t="s">
        <v>196</v>
      </c>
      <c r="H5" s="65" t="s">
        <v>172</v>
      </c>
      <c r="I5" s="66" t="s">
        <v>197</v>
      </c>
      <c r="J5" s="64" t="s">
        <v>140</v>
      </c>
      <c r="K5" s="66" t="s">
        <v>509</v>
      </c>
      <c r="L5" s="61" t="s">
        <v>420</v>
      </c>
      <c r="M5" s="66" t="s">
        <v>198</v>
      </c>
    </row>
    <row r="6" spans="2:13" ht="124" x14ac:dyDescent="0.35">
      <c r="B6" s="76">
        <f t="shared" ref="B6:B110" si="0">B5+1</f>
        <v>5</v>
      </c>
      <c r="C6" s="87" t="s">
        <v>193</v>
      </c>
      <c r="D6" s="62">
        <v>45204</v>
      </c>
      <c r="E6" s="61" t="s">
        <v>417</v>
      </c>
      <c r="F6" s="73" t="s">
        <v>418</v>
      </c>
      <c r="G6" s="66" t="s">
        <v>419</v>
      </c>
      <c r="H6" s="65" t="s">
        <v>172</v>
      </c>
      <c r="I6" s="66" t="s">
        <v>197</v>
      </c>
      <c r="J6" s="64" t="s">
        <v>140</v>
      </c>
      <c r="K6" s="66" t="s">
        <v>509</v>
      </c>
      <c r="L6" s="61" t="s">
        <v>420</v>
      </c>
      <c r="M6" s="74"/>
    </row>
    <row r="7" spans="2:13" ht="46.5" x14ac:dyDescent="0.35">
      <c r="B7" s="76">
        <f t="shared" si="0"/>
        <v>6</v>
      </c>
      <c r="C7" s="87" t="s">
        <v>697</v>
      </c>
      <c r="D7" s="62">
        <v>45429</v>
      </c>
      <c r="E7" s="65" t="s">
        <v>14</v>
      </c>
      <c r="F7" s="65" t="s">
        <v>699</v>
      </c>
      <c r="G7" s="66" t="s">
        <v>700</v>
      </c>
      <c r="H7" s="65" t="s">
        <v>701</v>
      </c>
      <c r="I7" s="66" t="s">
        <v>702</v>
      </c>
      <c r="J7" s="64" t="s">
        <v>330</v>
      </c>
      <c r="K7" s="66" t="s">
        <v>704</v>
      </c>
      <c r="L7" s="61" t="s">
        <v>706</v>
      </c>
      <c r="M7" s="74"/>
    </row>
    <row r="8" spans="2:13" ht="46.5" x14ac:dyDescent="0.35">
      <c r="B8" s="76">
        <f t="shared" si="0"/>
        <v>7</v>
      </c>
      <c r="C8" s="87" t="s">
        <v>698</v>
      </c>
      <c r="D8" s="62">
        <v>45936</v>
      </c>
      <c r="E8" s="65" t="s">
        <v>14</v>
      </c>
      <c r="F8" s="65" t="s">
        <v>699</v>
      </c>
      <c r="G8" s="66" t="s">
        <v>700</v>
      </c>
      <c r="H8" s="65" t="s">
        <v>44</v>
      </c>
      <c r="I8" s="66" t="s">
        <v>703</v>
      </c>
      <c r="J8" s="64" t="s">
        <v>330</v>
      </c>
      <c r="K8" s="66" t="s">
        <v>705</v>
      </c>
      <c r="L8" s="61" t="s">
        <v>706</v>
      </c>
      <c r="M8" s="74"/>
    </row>
    <row r="9" spans="2:13" ht="62" x14ac:dyDescent="0.35">
      <c r="B9" s="76">
        <f t="shared" si="0"/>
        <v>8</v>
      </c>
      <c r="C9" s="87" t="s">
        <v>445</v>
      </c>
      <c r="D9" s="62">
        <v>45457</v>
      </c>
      <c r="E9" s="73" t="s">
        <v>14</v>
      </c>
      <c r="F9" s="73" t="s">
        <v>62</v>
      </c>
      <c r="G9" s="66" t="s">
        <v>446</v>
      </c>
      <c r="H9" s="65" t="s">
        <v>447</v>
      </c>
      <c r="I9" s="66" t="s">
        <v>448</v>
      </c>
      <c r="J9" s="64" t="s">
        <v>140</v>
      </c>
      <c r="K9" s="65" t="s">
        <v>449</v>
      </c>
      <c r="L9" s="65" t="s">
        <v>450</v>
      </c>
      <c r="M9" s="74"/>
    </row>
    <row r="10" spans="2:13" ht="108.5" x14ac:dyDescent="0.35">
      <c r="B10" s="76">
        <f t="shared" si="0"/>
        <v>9</v>
      </c>
      <c r="C10" s="87" t="s">
        <v>480</v>
      </c>
      <c r="D10" s="54">
        <v>45504</v>
      </c>
      <c r="E10" s="73" t="s">
        <v>14</v>
      </c>
      <c r="F10" s="63" t="s">
        <v>213</v>
      </c>
      <c r="G10" s="66" t="s">
        <v>481</v>
      </c>
      <c r="H10" s="65" t="s">
        <v>482</v>
      </c>
      <c r="I10" s="66" t="s">
        <v>483</v>
      </c>
      <c r="J10" s="64" t="s">
        <v>140</v>
      </c>
      <c r="K10" s="65" t="s">
        <v>28</v>
      </c>
      <c r="L10" s="65" t="s">
        <v>484</v>
      </c>
      <c r="M10" s="74"/>
    </row>
    <row r="11" spans="2:13" ht="77.5" x14ac:dyDescent="0.35">
      <c r="B11" s="97">
        <f t="shared" si="0"/>
        <v>10</v>
      </c>
      <c r="C11" s="98" t="s">
        <v>226</v>
      </c>
      <c r="D11" s="99">
        <v>44460</v>
      </c>
      <c r="E11" s="100" t="s">
        <v>227</v>
      </c>
      <c r="F11" s="101" t="s">
        <v>228</v>
      </c>
      <c r="G11" s="102" t="s">
        <v>229</v>
      </c>
      <c r="H11" s="101" t="s">
        <v>230</v>
      </c>
      <c r="I11" s="102" t="s">
        <v>231</v>
      </c>
      <c r="J11" s="103" t="s">
        <v>19</v>
      </c>
      <c r="K11" s="102" t="s">
        <v>232</v>
      </c>
      <c r="L11" s="101" t="s">
        <v>233</v>
      </c>
      <c r="M11" s="104"/>
    </row>
    <row r="12" spans="2:13" ht="139.5" x14ac:dyDescent="0.35">
      <c r="B12" s="76">
        <f t="shared" si="0"/>
        <v>11</v>
      </c>
      <c r="C12" s="87" t="s">
        <v>524</v>
      </c>
      <c r="D12" s="62">
        <v>44634</v>
      </c>
      <c r="E12" s="63" t="s">
        <v>227</v>
      </c>
      <c r="F12" s="63" t="s">
        <v>270</v>
      </c>
      <c r="G12" s="66" t="s">
        <v>525</v>
      </c>
      <c r="H12" s="65" t="s">
        <v>271</v>
      </c>
      <c r="I12" s="66" t="s">
        <v>526</v>
      </c>
      <c r="J12" s="64" t="s">
        <v>140</v>
      </c>
      <c r="K12" s="66" t="s">
        <v>517</v>
      </c>
      <c r="L12" s="65" t="s">
        <v>277</v>
      </c>
      <c r="M12" s="60"/>
    </row>
    <row r="13" spans="2:13" ht="124" x14ac:dyDescent="0.35">
      <c r="B13" s="76">
        <f t="shared" si="0"/>
        <v>12</v>
      </c>
      <c r="C13" s="87" t="s">
        <v>280</v>
      </c>
      <c r="D13" s="62">
        <v>44693</v>
      </c>
      <c r="E13" s="63" t="s">
        <v>14</v>
      </c>
      <c r="F13" s="63" t="s">
        <v>281</v>
      </c>
      <c r="G13" s="66" t="s">
        <v>282</v>
      </c>
      <c r="H13" s="65" t="s">
        <v>283</v>
      </c>
      <c r="I13" s="66" t="s">
        <v>284</v>
      </c>
      <c r="J13" s="64" t="s">
        <v>19</v>
      </c>
      <c r="K13" s="66" t="s">
        <v>505</v>
      </c>
      <c r="L13" s="65" t="s">
        <v>285</v>
      </c>
      <c r="M13" s="71" t="s">
        <v>510</v>
      </c>
    </row>
    <row r="14" spans="2:13" ht="124" x14ac:dyDescent="0.35">
      <c r="B14" s="76">
        <f t="shared" si="0"/>
        <v>13</v>
      </c>
      <c r="C14" s="113" t="s">
        <v>602</v>
      </c>
      <c r="D14" s="62">
        <v>45775</v>
      </c>
      <c r="E14" s="74" t="s">
        <v>14</v>
      </c>
      <c r="F14" s="63" t="s">
        <v>281</v>
      </c>
      <c r="G14" s="66" t="s">
        <v>612</v>
      </c>
      <c r="H14" s="65" t="s">
        <v>611</v>
      </c>
      <c r="I14" s="66" t="s">
        <v>613</v>
      </c>
      <c r="J14" s="64" t="s">
        <v>19</v>
      </c>
      <c r="K14" s="66" t="s">
        <v>505</v>
      </c>
      <c r="L14" s="65" t="s">
        <v>285</v>
      </c>
      <c r="M14" s="71"/>
    </row>
    <row r="15" spans="2:13" ht="155" x14ac:dyDescent="0.35">
      <c r="B15" s="76">
        <f t="shared" si="0"/>
        <v>14</v>
      </c>
      <c r="C15" s="87" t="s">
        <v>292</v>
      </c>
      <c r="D15" s="62">
        <v>44827</v>
      </c>
      <c r="E15" s="63" t="s">
        <v>14</v>
      </c>
      <c r="F15" s="73" t="s">
        <v>293</v>
      </c>
      <c r="G15" s="64" t="s">
        <v>294</v>
      </c>
      <c r="H15" s="79" t="s">
        <v>20</v>
      </c>
      <c r="I15" s="66" t="s">
        <v>295</v>
      </c>
      <c r="J15" s="64" t="s">
        <v>19</v>
      </c>
      <c r="K15" s="66" t="s">
        <v>511</v>
      </c>
      <c r="L15" s="65" t="s">
        <v>296</v>
      </c>
      <c r="M15" s="74"/>
    </row>
    <row r="16" spans="2:13" ht="93" x14ac:dyDescent="0.35">
      <c r="B16" s="97">
        <f t="shared" si="0"/>
        <v>15</v>
      </c>
      <c r="C16" s="98" t="s">
        <v>212</v>
      </c>
      <c r="D16" s="99">
        <v>44835</v>
      </c>
      <c r="E16" s="100" t="s">
        <v>14</v>
      </c>
      <c r="F16" s="105" t="s">
        <v>297</v>
      </c>
      <c r="G16" s="102" t="s">
        <v>298</v>
      </c>
      <c r="H16" s="101" t="s">
        <v>299</v>
      </c>
      <c r="I16" s="102" t="s">
        <v>300</v>
      </c>
      <c r="J16" s="103" t="s">
        <v>19</v>
      </c>
      <c r="K16" s="102" t="s">
        <v>512</v>
      </c>
      <c r="L16" s="101" t="s">
        <v>301</v>
      </c>
      <c r="M16" s="105" t="s">
        <v>513</v>
      </c>
    </row>
    <row r="17" spans="2:13" ht="201.5" x14ac:dyDescent="0.35">
      <c r="B17" s="76">
        <f t="shared" si="0"/>
        <v>16</v>
      </c>
      <c r="C17" s="89" t="s">
        <v>305</v>
      </c>
      <c r="D17" s="90">
        <v>44907</v>
      </c>
      <c r="E17" s="94" t="s">
        <v>14</v>
      </c>
      <c r="F17" s="71" t="s">
        <v>306</v>
      </c>
      <c r="G17" s="91" t="s">
        <v>307</v>
      </c>
      <c r="H17" s="81" t="s">
        <v>308</v>
      </c>
      <c r="I17" s="91" t="s">
        <v>309</v>
      </c>
      <c r="J17" s="92" t="s">
        <v>19</v>
      </c>
      <c r="K17" s="91" t="s">
        <v>310</v>
      </c>
      <c r="L17" s="81" t="s">
        <v>311</v>
      </c>
      <c r="M17" s="93" t="s">
        <v>514</v>
      </c>
    </row>
    <row r="18" spans="2:13" ht="62" x14ac:dyDescent="0.35">
      <c r="B18" s="76">
        <f t="shared" si="0"/>
        <v>17</v>
      </c>
      <c r="C18" s="89" t="s">
        <v>557</v>
      </c>
      <c r="D18" s="90">
        <v>45260</v>
      </c>
      <c r="E18" s="94" t="s">
        <v>14</v>
      </c>
      <c r="F18" s="71" t="s">
        <v>306</v>
      </c>
      <c r="G18" s="91" t="s">
        <v>558</v>
      </c>
      <c r="H18" s="81" t="s">
        <v>559</v>
      </c>
      <c r="I18" s="91" t="s">
        <v>553</v>
      </c>
      <c r="J18" s="92" t="s">
        <v>19</v>
      </c>
      <c r="K18" s="91" t="s">
        <v>310</v>
      </c>
      <c r="L18" s="81" t="s">
        <v>311</v>
      </c>
      <c r="M18" s="93"/>
    </row>
    <row r="19" spans="2:13" ht="217" x14ac:dyDescent="0.35">
      <c r="B19" s="76">
        <f t="shared" si="0"/>
        <v>18</v>
      </c>
      <c r="C19" s="89" t="s">
        <v>560</v>
      </c>
      <c r="D19" s="90">
        <v>45200</v>
      </c>
      <c r="E19" s="94" t="s">
        <v>14</v>
      </c>
      <c r="F19" s="71" t="s">
        <v>562</v>
      </c>
      <c r="G19" s="91" t="s">
        <v>561</v>
      </c>
      <c r="H19" s="81" t="s">
        <v>565</v>
      </c>
      <c r="I19" s="91" t="s">
        <v>553</v>
      </c>
      <c r="J19" s="92" t="s">
        <v>19</v>
      </c>
      <c r="K19" s="91" t="s">
        <v>310</v>
      </c>
      <c r="L19" s="81" t="s">
        <v>311</v>
      </c>
      <c r="M19" s="93"/>
    </row>
    <row r="20" spans="2:13" ht="46.5" x14ac:dyDescent="0.35">
      <c r="B20" s="76">
        <f t="shared" si="0"/>
        <v>19</v>
      </c>
      <c r="C20" s="89" t="s">
        <v>557</v>
      </c>
      <c r="D20" s="90">
        <v>45192</v>
      </c>
      <c r="E20" s="94" t="s">
        <v>14</v>
      </c>
      <c r="F20" s="71" t="s">
        <v>562</v>
      </c>
      <c r="G20" s="91" t="s">
        <v>564</v>
      </c>
      <c r="H20" s="81" t="s">
        <v>563</v>
      </c>
      <c r="I20" s="91" t="s">
        <v>553</v>
      </c>
      <c r="J20" s="92" t="s">
        <v>19</v>
      </c>
      <c r="K20" s="91" t="s">
        <v>310</v>
      </c>
      <c r="L20" s="81" t="s">
        <v>311</v>
      </c>
      <c r="M20" s="93"/>
    </row>
    <row r="21" spans="2:13" ht="93" x14ac:dyDescent="0.35">
      <c r="B21" s="76">
        <f t="shared" si="0"/>
        <v>20</v>
      </c>
      <c r="C21" s="112" t="s">
        <v>117</v>
      </c>
      <c r="D21" s="54">
        <v>45048</v>
      </c>
      <c r="E21" s="68" t="s">
        <v>14</v>
      </c>
      <c r="F21" s="57" t="s">
        <v>331</v>
      </c>
      <c r="G21" s="59" t="s">
        <v>332</v>
      </c>
      <c r="H21" s="56" t="s">
        <v>333</v>
      </c>
      <c r="I21" s="59" t="s">
        <v>334</v>
      </c>
      <c r="J21" s="52" t="s">
        <v>19</v>
      </c>
      <c r="K21" s="52" t="s">
        <v>335</v>
      </c>
      <c r="L21" s="52" t="s">
        <v>336</v>
      </c>
      <c r="M21" s="106" t="s">
        <v>515</v>
      </c>
    </row>
    <row r="22" spans="2:13" ht="62" x14ac:dyDescent="0.35">
      <c r="B22" s="76">
        <f t="shared" si="0"/>
        <v>21</v>
      </c>
      <c r="C22" s="112" t="s">
        <v>601</v>
      </c>
      <c r="D22" s="54">
        <v>45784</v>
      </c>
      <c r="E22" s="68" t="s">
        <v>14</v>
      </c>
      <c r="F22" s="57" t="s">
        <v>331</v>
      </c>
      <c r="G22" s="59"/>
      <c r="H22" s="59" t="s">
        <v>603</v>
      </c>
      <c r="I22" s="59" t="s">
        <v>604</v>
      </c>
      <c r="J22" s="52" t="s">
        <v>19</v>
      </c>
      <c r="K22" s="52" t="s">
        <v>335</v>
      </c>
      <c r="L22" s="52" t="s">
        <v>336</v>
      </c>
      <c r="M22" s="106" t="s">
        <v>515</v>
      </c>
    </row>
    <row r="23" spans="2:13" ht="62" x14ac:dyDescent="0.35">
      <c r="B23" s="76">
        <f t="shared" si="0"/>
        <v>22</v>
      </c>
      <c r="C23" s="87" t="s">
        <v>355</v>
      </c>
      <c r="D23" s="54">
        <v>45546</v>
      </c>
      <c r="E23" s="65" t="s">
        <v>14</v>
      </c>
      <c r="F23" s="73" t="s">
        <v>356</v>
      </c>
      <c r="G23" s="65" t="s">
        <v>357</v>
      </c>
      <c r="H23" s="65" t="s">
        <v>358</v>
      </c>
      <c r="I23" s="64"/>
      <c r="J23" s="64" t="s">
        <v>19</v>
      </c>
      <c r="K23" s="65" t="s">
        <v>360</v>
      </c>
      <c r="L23" s="65" t="s">
        <v>360</v>
      </c>
      <c r="M23" s="74"/>
    </row>
    <row r="24" spans="2:13" ht="62" x14ac:dyDescent="0.35">
      <c r="B24" s="76">
        <f t="shared" si="0"/>
        <v>23</v>
      </c>
      <c r="C24" s="87" t="s">
        <v>355</v>
      </c>
      <c r="D24" s="54">
        <v>45449</v>
      </c>
      <c r="E24" s="65" t="s">
        <v>14</v>
      </c>
      <c r="F24" s="73" t="s">
        <v>356</v>
      </c>
      <c r="G24" s="65" t="s">
        <v>444</v>
      </c>
      <c r="H24" s="65" t="s">
        <v>358</v>
      </c>
      <c r="I24" s="64"/>
      <c r="J24" s="64" t="s">
        <v>19</v>
      </c>
      <c r="K24" s="65" t="s">
        <v>360</v>
      </c>
      <c r="L24" s="66" t="s">
        <v>359</v>
      </c>
      <c r="M24" s="74"/>
    </row>
    <row r="25" spans="2:13" ht="155" x14ac:dyDescent="0.35">
      <c r="B25" s="76">
        <f t="shared" si="0"/>
        <v>24</v>
      </c>
      <c r="C25" s="87" t="s">
        <v>373</v>
      </c>
      <c r="D25" s="95">
        <v>45054</v>
      </c>
      <c r="E25" s="78" t="s">
        <v>14</v>
      </c>
      <c r="F25" s="78" t="s">
        <v>374</v>
      </c>
      <c r="G25" s="66" t="s">
        <v>375</v>
      </c>
      <c r="H25" s="65" t="s">
        <v>376</v>
      </c>
      <c r="I25" s="66" t="s">
        <v>377</v>
      </c>
      <c r="J25" s="66" t="s">
        <v>19</v>
      </c>
      <c r="K25" s="66" t="s">
        <v>507</v>
      </c>
      <c r="L25" s="78" t="s">
        <v>378</v>
      </c>
      <c r="M25" s="74"/>
    </row>
    <row r="26" spans="2:13" ht="46.5" x14ac:dyDescent="0.35">
      <c r="B26" s="76">
        <f t="shared" si="0"/>
        <v>25</v>
      </c>
      <c r="C26" s="74" t="s">
        <v>598</v>
      </c>
      <c r="D26" s="95">
        <v>45758</v>
      </c>
      <c r="E26" s="78" t="s">
        <v>14</v>
      </c>
      <c r="F26" s="78" t="s">
        <v>374</v>
      </c>
      <c r="G26" s="66" t="s">
        <v>600</v>
      </c>
      <c r="H26" s="65" t="s">
        <v>599</v>
      </c>
      <c r="I26" s="66" t="s">
        <v>377</v>
      </c>
      <c r="J26" s="66" t="s">
        <v>19</v>
      </c>
      <c r="K26" s="66" t="s">
        <v>507</v>
      </c>
      <c r="L26" s="78" t="s">
        <v>378</v>
      </c>
      <c r="M26" s="74"/>
    </row>
    <row r="27" spans="2:13" ht="201.5" x14ac:dyDescent="0.35">
      <c r="B27" s="76">
        <f t="shared" si="0"/>
        <v>26</v>
      </c>
      <c r="C27" s="74" t="s">
        <v>770</v>
      </c>
      <c r="D27" s="95">
        <v>45097</v>
      </c>
      <c r="E27" s="78" t="s">
        <v>14</v>
      </c>
      <c r="F27" s="78" t="s">
        <v>772</v>
      </c>
      <c r="G27" s="66" t="s">
        <v>773</v>
      </c>
      <c r="H27" s="65" t="s">
        <v>775</v>
      </c>
      <c r="I27" s="66" t="s">
        <v>776</v>
      </c>
      <c r="J27" s="66" t="s">
        <v>330</v>
      </c>
      <c r="K27" s="66" t="s">
        <v>778</v>
      </c>
      <c r="L27" s="78" t="s">
        <v>777</v>
      </c>
      <c r="M27" s="74"/>
    </row>
    <row r="28" spans="2:13" ht="201.5" x14ac:dyDescent="0.35">
      <c r="B28" s="76">
        <f t="shared" si="0"/>
        <v>27</v>
      </c>
      <c r="C28" s="74" t="s">
        <v>771</v>
      </c>
      <c r="D28" s="95">
        <v>45968</v>
      </c>
      <c r="E28" s="78" t="s">
        <v>14</v>
      </c>
      <c r="F28" s="78" t="s">
        <v>772</v>
      </c>
      <c r="G28" s="66" t="s">
        <v>774</v>
      </c>
      <c r="H28" s="66" t="s">
        <v>774</v>
      </c>
      <c r="I28" s="66"/>
      <c r="J28" s="66" t="s">
        <v>330</v>
      </c>
      <c r="K28" s="66" t="s">
        <v>778</v>
      </c>
      <c r="L28" s="78" t="s">
        <v>777</v>
      </c>
      <c r="M28" s="74"/>
    </row>
    <row r="29" spans="2:13" ht="93" x14ac:dyDescent="0.35">
      <c r="B29" s="76">
        <f t="shared" si="0"/>
        <v>28</v>
      </c>
      <c r="C29" s="87" t="s">
        <v>393</v>
      </c>
      <c r="D29" s="62">
        <v>45147</v>
      </c>
      <c r="E29" s="65" t="s">
        <v>394</v>
      </c>
      <c r="F29" s="73" t="s">
        <v>395</v>
      </c>
      <c r="G29" s="66" t="s">
        <v>396</v>
      </c>
      <c r="H29" s="73" t="s">
        <v>44</v>
      </c>
      <c r="I29" s="66" t="s">
        <v>397</v>
      </c>
      <c r="J29" s="64" t="s">
        <v>140</v>
      </c>
      <c r="K29" s="66"/>
      <c r="L29" s="64" t="s">
        <v>399</v>
      </c>
      <c r="M29" s="64" t="s">
        <v>398</v>
      </c>
    </row>
    <row r="30" spans="2:13" ht="108.5" x14ac:dyDescent="0.35">
      <c r="B30" s="76">
        <f t="shared" si="0"/>
        <v>29</v>
      </c>
      <c r="C30" s="87" t="s">
        <v>393</v>
      </c>
      <c r="D30" s="62">
        <v>45181</v>
      </c>
      <c r="E30" s="65" t="s">
        <v>405</v>
      </c>
      <c r="F30" s="73" t="s">
        <v>395</v>
      </c>
      <c r="G30" s="66" t="s">
        <v>396</v>
      </c>
      <c r="H30" s="73" t="s">
        <v>44</v>
      </c>
      <c r="I30" s="66" t="s">
        <v>397</v>
      </c>
      <c r="J30" s="64" t="s">
        <v>140</v>
      </c>
      <c r="K30" s="66"/>
      <c r="L30" s="64" t="s">
        <v>399</v>
      </c>
      <c r="M30" s="64" t="s">
        <v>398</v>
      </c>
    </row>
    <row r="31" spans="2:13" ht="46.5" x14ac:dyDescent="0.35">
      <c r="B31" s="76">
        <f t="shared" si="0"/>
        <v>30</v>
      </c>
      <c r="C31" s="87" t="s">
        <v>117</v>
      </c>
      <c r="D31" s="62">
        <v>45180</v>
      </c>
      <c r="E31" s="73" t="s">
        <v>14</v>
      </c>
      <c r="F31" s="73" t="s">
        <v>400</v>
      </c>
      <c r="G31" s="66" t="s">
        <v>401</v>
      </c>
      <c r="H31" s="65" t="s">
        <v>402</v>
      </c>
      <c r="I31" s="64" t="s">
        <v>403</v>
      </c>
      <c r="J31" s="64" t="s">
        <v>140</v>
      </c>
      <c r="K31" s="64" t="s">
        <v>518</v>
      </c>
      <c r="L31" s="64" t="s">
        <v>404</v>
      </c>
      <c r="M31" s="93" t="s">
        <v>514</v>
      </c>
    </row>
    <row r="32" spans="2:13" ht="31" x14ac:dyDescent="0.35">
      <c r="B32" s="76">
        <f t="shared" si="0"/>
        <v>31</v>
      </c>
      <c r="C32" s="87" t="s">
        <v>117</v>
      </c>
      <c r="D32" s="62">
        <v>45202</v>
      </c>
      <c r="E32" s="73" t="s">
        <v>14</v>
      </c>
      <c r="F32" s="73" t="s">
        <v>412</v>
      </c>
      <c r="G32" s="64" t="s">
        <v>413</v>
      </c>
      <c r="H32" s="65" t="s">
        <v>414</v>
      </c>
      <c r="I32" s="80" t="s">
        <v>415</v>
      </c>
      <c r="J32" s="64" t="s">
        <v>19</v>
      </c>
      <c r="K32" s="66" t="s">
        <v>507</v>
      </c>
      <c r="L32" s="73" t="s">
        <v>416</v>
      </c>
      <c r="M32" s="74"/>
    </row>
    <row r="33" spans="2:14" ht="93" x14ac:dyDescent="0.35">
      <c r="B33" s="76">
        <f t="shared" si="0"/>
        <v>32</v>
      </c>
      <c r="C33" s="88" t="s">
        <v>427</v>
      </c>
      <c r="D33" s="62">
        <v>45408</v>
      </c>
      <c r="E33" s="73" t="s">
        <v>14</v>
      </c>
      <c r="F33" s="73" t="s">
        <v>428</v>
      </c>
      <c r="G33" s="66" t="s">
        <v>429</v>
      </c>
      <c r="H33" s="65" t="s">
        <v>430</v>
      </c>
      <c r="I33" s="64" t="s">
        <v>431</v>
      </c>
      <c r="J33" s="64" t="s">
        <v>19</v>
      </c>
      <c r="K33" s="66" t="s">
        <v>516</v>
      </c>
      <c r="L33" s="73" t="s">
        <v>432</v>
      </c>
      <c r="M33" s="91" t="s">
        <v>516</v>
      </c>
    </row>
    <row r="34" spans="2:14" ht="124" x14ac:dyDescent="0.35">
      <c r="B34" s="76">
        <f t="shared" si="0"/>
        <v>33</v>
      </c>
      <c r="C34" s="87" t="s">
        <v>117</v>
      </c>
      <c r="D34" s="62">
        <v>45412</v>
      </c>
      <c r="E34" s="73" t="s">
        <v>14</v>
      </c>
      <c r="F34" s="73" t="s">
        <v>433</v>
      </c>
      <c r="G34" s="66" t="s">
        <v>434</v>
      </c>
      <c r="H34" s="65" t="s">
        <v>435</v>
      </c>
      <c r="I34" s="66" t="s">
        <v>436</v>
      </c>
      <c r="J34" s="64" t="s">
        <v>140</v>
      </c>
      <c r="K34" s="65" t="s">
        <v>28</v>
      </c>
      <c r="L34" s="65" t="s">
        <v>437</v>
      </c>
      <c r="M34" s="74"/>
    </row>
    <row r="35" spans="2:14" ht="62" x14ac:dyDescent="0.35">
      <c r="B35" s="76">
        <f t="shared" si="0"/>
        <v>34</v>
      </c>
      <c r="C35" s="87" t="s">
        <v>117</v>
      </c>
      <c r="D35" s="62">
        <v>45425</v>
      </c>
      <c r="E35" s="73" t="s">
        <v>14</v>
      </c>
      <c r="F35" s="73" t="s">
        <v>438</v>
      </c>
      <c r="G35" s="66" t="s">
        <v>439</v>
      </c>
      <c r="H35" s="65" t="s">
        <v>440</v>
      </c>
      <c r="I35" s="66" t="s">
        <v>441</v>
      </c>
      <c r="J35" s="64" t="s">
        <v>140</v>
      </c>
      <c r="K35" s="65" t="s">
        <v>442</v>
      </c>
      <c r="L35" s="65" t="s">
        <v>443</v>
      </c>
      <c r="M35" s="106" t="s">
        <v>571</v>
      </c>
    </row>
    <row r="36" spans="2:14" ht="62" x14ac:dyDescent="0.35">
      <c r="B36" s="76">
        <f t="shared" si="0"/>
        <v>35</v>
      </c>
      <c r="C36" s="87" t="s">
        <v>570</v>
      </c>
      <c r="D36" s="62">
        <v>45831</v>
      </c>
      <c r="E36" s="73" t="s">
        <v>14</v>
      </c>
      <c r="F36" s="73" t="s">
        <v>438</v>
      </c>
      <c r="G36" s="66" t="s">
        <v>614</v>
      </c>
      <c r="H36" s="65" t="s">
        <v>440</v>
      </c>
      <c r="I36" s="66"/>
      <c r="J36" s="64"/>
      <c r="K36" s="65"/>
      <c r="L36" s="65"/>
      <c r="M36" s="106" t="s">
        <v>571</v>
      </c>
    </row>
    <row r="37" spans="2:14" ht="77.5" x14ac:dyDescent="0.35">
      <c r="B37" s="76">
        <f t="shared" si="0"/>
        <v>36</v>
      </c>
      <c r="C37" s="87" t="s">
        <v>501</v>
      </c>
      <c r="D37" s="62">
        <v>45439</v>
      </c>
      <c r="E37" s="65" t="s">
        <v>14</v>
      </c>
      <c r="F37" s="65" t="s">
        <v>500</v>
      </c>
      <c r="G37" s="66" t="s">
        <v>502</v>
      </c>
      <c r="H37" s="65" t="s">
        <v>503</v>
      </c>
      <c r="I37" s="66" t="s">
        <v>504</v>
      </c>
      <c r="J37" s="64" t="s">
        <v>330</v>
      </c>
      <c r="K37" s="65" t="s">
        <v>505</v>
      </c>
      <c r="L37" s="65" t="s">
        <v>506</v>
      </c>
      <c r="M37" s="74" t="s">
        <v>521</v>
      </c>
    </row>
    <row r="38" spans="2:14" ht="139.5" x14ac:dyDescent="0.35">
      <c r="B38" s="76">
        <f t="shared" si="0"/>
        <v>37</v>
      </c>
      <c r="C38" s="87" t="s">
        <v>117</v>
      </c>
      <c r="D38" s="62">
        <v>45478</v>
      </c>
      <c r="E38" s="65" t="s">
        <v>474</v>
      </c>
      <c r="F38" s="73" t="s">
        <v>463</v>
      </c>
      <c r="G38" s="66" t="s">
        <v>464</v>
      </c>
      <c r="H38" s="65" t="s">
        <v>435</v>
      </c>
      <c r="I38" s="66" t="s">
        <v>465</v>
      </c>
      <c r="J38" s="64" t="s">
        <v>140</v>
      </c>
      <c r="K38" s="65" t="s">
        <v>466</v>
      </c>
      <c r="L38" s="65" t="s">
        <v>467</v>
      </c>
      <c r="M38" s="65"/>
    </row>
    <row r="39" spans="2:14" ht="46.5" x14ac:dyDescent="0.35">
      <c r="B39" s="76">
        <f t="shared" si="0"/>
        <v>38</v>
      </c>
      <c r="C39" s="89" t="s">
        <v>117</v>
      </c>
      <c r="D39" s="62">
        <v>45678</v>
      </c>
      <c r="E39" s="65" t="s">
        <v>14</v>
      </c>
      <c r="F39" s="65" t="s">
        <v>463</v>
      </c>
      <c r="G39" s="66" t="s">
        <v>464</v>
      </c>
      <c r="H39" s="65" t="s">
        <v>435</v>
      </c>
      <c r="I39" s="66" t="s">
        <v>261</v>
      </c>
      <c r="J39" s="64" t="s">
        <v>19</v>
      </c>
      <c r="K39" s="65" t="s">
        <v>493</v>
      </c>
      <c r="L39" s="65" t="s">
        <v>467</v>
      </c>
      <c r="M39" s="81" t="s">
        <v>494</v>
      </c>
    </row>
    <row r="40" spans="2:14" ht="77.5" x14ac:dyDescent="0.35">
      <c r="B40" s="76">
        <f t="shared" si="0"/>
        <v>39</v>
      </c>
      <c r="C40" s="87" t="s">
        <v>468</v>
      </c>
      <c r="D40" s="62">
        <v>45492</v>
      </c>
      <c r="E40" s="65" t="s">
        <v>14</v>
      </c>
      <c r="F40" s="65" t="s">
        <v>469</v>
      </c>
      <c r="G40" s="66" t="s">
        <v>470</v>
      </c>
      <c r="H40" s="65" t="s">
        <v>471</v>
      </c>
      <c r="I40" s="66" t="s">
        <v>472</v>
      </c>
      <c r="J40" s="64" t="s">
        <v>19</v>
      </c>
      <c r="K40" s="65" t="s">
        <v>453</v>
      </c>
      <c r="L40" s="65" t="s">
        <v>473</v>
      </c>
      <c r="M40" s="65"/>
    </row>
    <row r="41" spans="2:14" ht="77.5" x14ac:dyDescent="0.35">
      <c r="B41" s="76">
        <f t="shared" si="0"/>
        <v>40</v>
      </c>
      <c r="C41" s="87" t="s">
        <v>117</v>
      </c>
      <c r="D41" s="62">
        <v>45656</v>
      </c>
      <c r="E41" s="65" t="s">
        <v>14</v>
      </c>
      <c r="F41" s="74" t="s">
        <v>96</v>
      </c>
      <c r="G41" s="74" t="s">
        <v>485</v>
      </c>
      <c r="H41" s="74" t="s">
        <v>486</v>
      </c>
      <c r="I41" s="74" t="s">
        <v>487</v>
      </c>
      <c r="J41" s="74" t="s">
        <v>330</v>
      </c>
      <c r="K41" s="74" t="s">
        <v>453</v>
      </c>
      <c r="L41" s="74" t="s">
        <v>488</v>
      </c>
      <c r="M41" s="74"/>
    </row>
    <row r="42" spans="2:14" ht="93" x14ac:dyDescent="0.35">
      <c r="B42" s="76">
        <f t="shared" si="0"/>
        <v>41</v>
      </c>
      <c r="C42" s="87" t="s">
        <v>468</v>
      </c>
      <c r="D42" s="62">
        <v>45632</v>
      </c>
      <c r="E42" s="65" t="s">
        <v>14</v>
      </c>
      <c r="F42" s="73" t="s">
        <v>489</v>
      </c>
      <c r="G42" s="66" t="s">
        <v>470</v>
      </c>
      <c r="H42" s="65" t="s">
        <v>491</v>
      </c>
      <c r="I42" s="66" t="s">
        <v>492</v>
      </c>
      <c r="J42" s="64" t="s">
        <v>19</v>
      </c>
      <c r="K42" s="65" t="s">
        <v>453</v>
      </c>
      <c r="L42" s="65" t="s">
        <v>490</v>
      </c>
      <c r="M42" s="65"/>
    </row>
    <row r="43" spans="2:14" ht="77.5" x14ac:dyDescent="0.35">
      <c r="B43" s="76">
        <f t="shared" si="0"/>
        <v>42</v>
      </c>
      <c r="C43" s="87" t="s">
        <v>495</v>
      </c>
      <c r="D43" s="82">
        <v>45412</v>
      </c>
      <c r="E43" s="65" t="s">
        <v>14</v>
      </c>
      <c r="F43" s="74" t="s">
        <v>496</v>
      </c>
      <c r="G43" s="74" t="s">
        <v>497</v>
      </c>
      <c r="H43" s="74" t="s">
        <v>498</v>
      </c>
      <c r="I43" s="74" t="s">
        <v>499</v>
      </c>
      <c r="J43" s="74"/>
      <c r="K43" s="74" t="s">
        <v>518</v>
      </c>
      <c r="L43" s="74"/>
      <c r="M43" s="74"/>
    </row>
    <row r="44" spans="2:14" s="46" customFormat="1" ht="232.5" x14ac:dyDescent="0.35">
      <c r="B44" s="76">
        <f t="shared" si="0"/>
        <v>43</v>
      </c>
      <c r="C44" s="61" t="s">
        <v>205</v>
      </c>
      <c r="D44" s="62">
        <v>44329</v>
      </c>
      <c r="E44" s="63" t="s">
        <v>14</v>
      </c>
      <c r="F44" s="63" t="s">
        <v>206</v>
      </c>
      <c r="G44" s="66" t="s">
        <v>207</v>
      </c>
      <c r="H44" s="65" t="s">
        <v>208</v>
      </c>
      <c r="I44" s="66" t="s">
        <v>209</v>
      </c>
      <c r="J44" s="64" t="s">
        <v>19</v>
      </c>
      <c r="K44" s="66" t="s">
        <v>187</v>
      </c>
      <c r="L44" s="65" t="s">
        <v>210</v>
      </c>
      <c r="M44" s="71" t="s">
        <v>211</v>
      </c>
      <c r="N44" s="39"/>
    </row>
    <row r="45" spans="2:14" ht="70" x14ac:dyDescent="0.35">
      <c r="B45" s="76">
        <f t="shared" si="0"/>
        <v>44</v>
      </c>
      <c r="C45" s="5" t="s">
        <v>337</v>
      </c>
      <c r="D45" s="33">
        <v>45532</v>
      </c>
      <c r="E45" s="10" t="s">
        <v>338</v>
      </c>
      <c r="F45" s="10" t="s">
        <v>339</v>
      </c>
      <c r="G45" s="10" t="s">
        <v>340</v>
      </c>
      <c r="H45" s="10" t="s">
        <v>341</v>
      </c>
      <c r="I45" s="10" t="s">
        <v>342</v>
      </c>
      <c r="J45" s="9" t="s">
        <v>19</v>
      </c>
      <c r="K45" s="10" t="s">
        <v>343</v>
      </c>
      <c r="L45" s="10" t="s">
        <v>344</v>
      </c>
      <c r="M45" s="31"/>
    </row>
    <row r="46" spans="2:14" ht="70" x14ac:dyDescent="0.35">
      <c r="B46" s="76">
        <f t="shared" si="0"/>
        <v>45</v>
      </c>
      <c r="C46" s="5" t="s">
        <v>337</v>
      </c>
      <c r="D46" s="33">
        <v>45532</v>
      </c>
      <c r="E46" s="10" t="s">
        <v>145</v>
      </c>
      <c r="F46" s="10" t="s">
        <v>339</v>
      </c>
      <c r="G46" s="10" t="s">
        <v>340</v>
      </c>
      <c r="H46" s="10" t="s">
        <v>341</v>
      </c>
      <c r="I46" s="10" t="s">
        <v>345</v>
      </c>
      <c r="J46" s="9" t="s">
        <v>19</v>
      </c>
      <c r="K46" s="10" t="s">
        <v>346</v>
      </c>
      <c r="L46" s="10" t="s">
        <v>344</v>
      </c>
      <c r="M46" s="31"/>
    </row>
    <row r="47" spans="2:14" ht="70" x14ac:dyDescent="0.35">
      <c r="B47" s="76">
        <f t="shared" si="0"/>
        <v>46</v>
      </c>
      <c r="C47" s="5" t="s">
        <v>337</v>
      </c>
      <c r="D47" s="33">
        <v>45532</v>
      </c>
      <c r="E47" s="10" t="s">
        <v>347</v>
      </c>
      <c r="F47" s="10" t="s">
        <v>339</v>
      </c>
      <c r="G47" s="10" t="s">
        <v>340</v>
      </c>
      <c r="H47" s="10" t="s">
        <v>341</v>
      </c>
      <c r="I47" s="10" t="s">
        <v>342</v>
      </c>
      <c r="J47" s="9" t="s">
        <v>19</v>
      </c>
      <c r="K47" s="10" t="s">
        <v>527</v>
      </c>
      <c r="L47" s="10" t="s">
        <v>344</v>
      </c>
      <c r="M47" s="31"/>
    </row>
    <row r="48" spans="2:14" ht="70" x14ac:dyDescent="0.35">
      <c r="B48" s="76">
        <f t="shared" si="0"/>
        <v>47</v>
      </c>
      <c r="C48" s="5" t="s">
        <v>337</v>
      </c>
      <c r="D48" s="33">
        <v>45532</v>
      </c>
      <c r="E48" s="10" t="s">
        <v>227</v>
      </c>
      <c r="F48" s="10" t="s">
        <v>339</v>
      </c>
      <c r="G48" s="10" t="s">
        <v>340</v>
      </c>
      <c r="H48" s="10" t="s">
        <v>341</v>
      </c>
      <c r="I48" s="10" t="s">
        <v>342</v>
      </c>
      <c r="J48" s="9" t="s">
        <v>19</v>
      </c>
      <c r="K48" s="10" t="s">
        <v>349</v>
      </c>
      <c r="L48" s="10" t="s">
        <v>344</v>
      </c>
      <c r="M48" s="31"/>
    </row>
    <row r="49" spans="2:13" ht="98" x14ac:dyDescent="0.35">
      <c r="B49" s="76">
        <f t="shared" si="0"/>
        <v>48</v>
      </c>
      <c r="C49" s="5" t="s">
        <v>350</v>
      </c>
      <c r="D49" s="33">
        <v>45532</v>
      </c>
      <c r="E49" s="10" t="s">
        <v>145</v>
      </c>
      <c r="F49" s="8" t="s">
        <v>14</v>
      </c>
      <c r="G49" s="10" t="s">
        <v>351</v>
      </c>
      <c r="H49" s="10" t="s">
        <v>341</v>
      </c>
      <c r="I49" s="10" t="s">
        <v>352</v>
      </c>
      <c r="J49" s="8" t="s">
        <v>19</v>
      </c>
      <c r="K49" s="8" t="s">
        <v>353</v>
      </c>
      <c r="L49" s="8" t="s">
        <v>346</v>
      </c>
      <c r="M49" s="8"/>
    </row>
    <row r="50" spans="2:13" ht="98" x14ac:dyDescent="0.35">
      <c r="B50" s="76">
        <f t="shared" si="0"/>
        <v>49</v>
      </c>
      <c r="C50" s="5" t="s">
        <v>350</v>
      </c>
      <c r="D50" s="33">
        <v>45532</v>
      </c>
      <c r="E50" s="10" t="s">
        <v>124</v>
      </c>
      <c r="F50" s="8" t="s">
        <v>14</v>
      </c>
      <c r="G50" s="10" t="s">
        <v>351</v>
      </c>
      <c r="H50" s="10" t="s">
        <v>341</v>
      </c>
      <c r="I50" s="10" t="s">
        <v>352</v>
      </c>
      <c r="J50" s="8" t="s">
        <v>19</v>
      </c>
      <c r="K50" s="8" t="s">
        <v>353</v>
      </c>
      <c r="L50" s="8" t="s">
        <v>346</v>
      </c>
      <c r="M50" s="8"/>
    </row>
    <row r="51" spans="2:13" ht="98" x14ac:dyDescent="0.35">
      <c r="B51" s="76">
        <f t="shared" si="0"/>
        <v>50</v>
      </c>
      <c r="C51" s="5" t="s">
        <v>350</v>
      </c>
      <c r="D51" s="33">
        <v>45532</v>
      </c>
      <c r="E51" s="10" t="s">
        <v>176</v>
      </c>
      <c r="F51" s="8" t="s">
        <v>14</v>
      </c>
      <c r="G51" s="10" t="s">
        <v>351</v>
      </c>
      <c r="H51" s="10" t="s">
        <v>341</v>
      </c>
      <c r="I51" s="10" t="s">
        <v>354</v>
      </c>
      <c r="J51" s="8" t="s">
        <v>19</v>
      </c>
      <c r="K51" s="8" t="s">
        <v>353</v>
      </c>
      <c r="L51" s="8" t="s">
        <v>349</v>
      </c>
      <c r="M51" s="8"/>
    </row>
    <row r="52" spans="2:13" ht="98" x14ac:dyDescent="0.35">
      <c r="B52" s="76">
        <f t="shared" si="0"/>
        <v>51</v>
      </c>
      <c r="C52" s="5" t="s">
        <v>350</v>
      </c>
      <c r="D52" s="33">
        <v>45833</v>
      </c>
      <c r="E52" s="10" t="s">
        <v>645</v>
      </c>
      <c r="F52" s="8" t="s">
        <v>14</v>
      </c>
      <c r="G52" s="10" t="s">
        <v>351</v>
      </c>
      <c r="H52" s="10" t="s">
        <v>341</v>
      </c>
      <c r="I52" s="10" t="s">
        <v>735</v>
      </c>
      <c r="J52" s="8" t="s">
        <v>19</v>
      </c>
      <c r="K52" s="8" t="s">
        <v>736</v>
      </c>
      <c r="L52" s="8" t="s">
        <v>344</v>
      </c>
      <c r="M52" s="31"/>
    </row>
    <row r="53" spans="2:13" ht="56" x14ac:dyDescent="0.35">
      <c r="B53" s="76">
        <f t="shared" si="0"/>
        <v>52</v>
      </c>
      <c r="C53" s="37" t="s">
        <v>406</v>
      </c>
      <c r="D53" s="6">
        <v>45189</v>
      </c>
      <c r="E53" s="12" t="s">
        <v>14</v>
      </c>
      <c r="F53" s="5" t="s">
        <v>322</v>
      </c>
      <c r="G53" s="38" t="s">
        <v>407</v>
      </c>
      <c r="H53" s="10" t="s">
        <v>408</v>
      </c>
      <c r="I53" s="8" t="s">
        <v>409</v>
      </c>
      <c r="J53" s="9" t="s">
        <v>19</v>
      </c>
      <c r="K53" s="12" t="s">
        <v>410</v>
      </c>
      <c r="L53" s="12" t="s">
        <v>411</v>
      </c>
      <c r="M53" s="31"/>
    </row>
    <row r="54" spans="2:13" ht="42" x14ac:dyDescent="0.35">
      <c r="B54" s="76">
        <f t="shared" si="0"/>
        <v>53</v>
      </c>
      <c r="C54" s="5" t="s">
        <v>421</v>
      </c>
      <c r="D54" s="6">
        <v>45212</v>
      </c>
      <c r="E54" s="12" t="s">
        <v>14</v>
      </c>
      <c r="F54" s="12" t="s">
        <v>426</v>
      </c>
      <c r="G54" s="38" t="s">
        <v>422</v>
      </c>
      <c r="H54" s="10" t="s">
        <v>423</v>
      </c>
      <c r="I54" s="8" t="s">
        <v>424</v>
      </c>
      <c r="J54" s="9" t="s">
        <v>19</v>
      </c>
      <c r="K54" s="12" t="s">
        <v>411</v>
      </c>
      <c r="L54" s="12" t="s">
        <v>425</v>
      </c>
      <c r="M54" s="31"/>
    </row>
    <row r="55" spans="2:13" ht="98" x14ac:dyDescent="0.35">
      <c r="B55" s="76">
        <f t="shared" si="0"/>
        <v>54</v>
      </c>
      <c r="C55" s="5" t="s">
        <v>475</v>
      </c>
      <c r="D55" s="33">
        <v>45499</v>
      </c>
      <c r="E55" s="10" t="s">
        <v>14</v>
      </c>
      <c r="F55" s="12" t="s">
        <v>339</v>
      </c>
      <c r="G55" s="10" t="s">
        <v>476</v>
      </c>
      <c r="H55" s="10" t="s">
        <v>341</v>
      </c>
      <c r="I55" s="10" t="s">
        <v>477</v>
      </c>
      <c r="J55" s="9" t="s">
        <v>19</v>
      </c>
      <c r="K55" s="10" t="s">
        <v>478</v>
      </c>
      <c r="L55" s="10" t="s">
        <v>479</v>
      </c>
      <c r="M55" s="31"/>
    </row>
    <row r="56" spans="2:13" ht="56" x14ac:dyDescent="0.35">
      <c r="B56" s="76">
        <f t="shared" si="0"/>
        <v>55</v>
      </c>
      <c r="C56" s="5" t="s">
        <v>108</v>
      </c>
      <c r="D56" s="33">
        <v>45555</v>
      </c>
      <c r="E56" s="10" t="s">
        <v>339</v>
      </c>
      <c r="F56" s="12" t="s">
        <v>278</v>
      </c>
      <c r="G56" s="10" t="s">
        <v>361</v>
      </c>
      <c r="H56" s="10" t="s">
        <v>341</v>
      </c>
      <c r="I56" s="10" t="s">
        <v>362</v>
      </c>
      <c r="J56" s="9" t="s">
        <v>140</v>
      </c>
      <c r="K56" s="10" t="s">
        <v>344</v>
      </c>
      <c r="L56" s="10" t="s">
        <v>363</v>
      </c>
      <c r="M56" s="10" t="s">
        <v>364</v>
      </c>
    </row>
    <row r="57" spans="2:13" ht="56" x14ac:dyDescent="0.35">
      <c r="B57" s="76">
        <f t="shared" si="0"/>
        <v>56</v>
      </c>
      <c r="C57" s="5" t="s">
        <v>108</v>
      </c>
      <c r="D57" s="33">
        <v>45555</v>
      </c>
      <c r="E57" s="10" t="s">
        <v>339</v>
      </c>
      <c r="F57" s="12" t="s">
        <v>124</v>
      </c>
      <c r="G57" s="10" t="s">
        <v>361</v>
      </c>
      <c r="H57" s="10" t="s">
        <v>341</v>
      </c>
      <c r="I57" s="10" t="s">
        <v>362</v>
      </c>
      <c r="J57" s="9" t="s">
        <v>140</v>
      </c>
      <c r="K57" s="10" t="s">
        <v>344</v>
      </c>
      <c r="L57" s="10" t="s">
        <v>346</v>
      </c>
      <c r="M57" s="10" t="s">
        <v>364</v>
      </c>
    </row>
    <row r="58" spans="2:13" ht="56" x14ac:dyDescent="0.35">
      <c r="B58" s="76">
        <f t="shared" si="0"/>
        <v>57</v>
      </c>
      <c r="C58" s="5" t="s">
        <v>108</v>
      </c>
      <c r="D58" s="33">
        <v>45555</v>
      </c>
      <c r="E58" s="10" t="s">
        <v>339</v>
      </c>
      <c r="F58" s="12" t="s">
        <v>145</v>
      </c>
      <c r="G58" s="10" t="s">
        <v>361</v>
      </c>
      <c r="H58" s="10" t="s">
        <v>341</v>
      </c>
      <c r="I58" s="10" t="s">
        <v>362</v>
      </c>
      <c r="J58" s="9" t="s">
        <v>140</v>
      </c>
      <c r="K58" s="10" t="s">
        <v>344</v>
      </c>
      <c r="L58" s="10" t="s">
        <v>346</v>
      </c>
      <c r="M58" s="10" t="s">
        <v>364</v>
      </c>
    </row>
    <row r="59" spans="2:13" ht="56" x14ac:dyDescent="0.35">
      <c r="B59" s="76">
        <f t="shared" si="0"/>
        <v>58</v>
      </c>
      <c r="C59" s="5" t="s">
        <v>108</v>
      </c>
      <c r="D59" s="33">
        <v>45555</v>
      </c>
      <c r="E59" s="10" t="s">
        <v>339</v>
      </c>
      <c r="F59" s="12" t="s">
        <v>176</v>
      </c>
      <c r="G59" s="10" t="s">
        <v>361</v>
      </c>
      <c r="H59" s="10" t="s">
        <v>341</v>
      </c>
      <c r="I59" s="10" t="s">
        <v>362</v>
      </c>
      <c r="J59" s="9" t="s">
        <v>140</v>
      </c>
      <c r="K59" s="10" t="s">
        <v>344</v>
      </c>
      <c r="L59" s="10" t="s">
        <v>349</v>
      </c>
      <c r="M59" s="10" t="s">
        <v>364</v>
      </c>
    </row>
    <row r="60" spans="2:13" ht="62" x14ac:dyDescent="0.35">
      <c r="B60" s="76">
        <f t="shared" si="0"/>
        <v>59</v>
      </c>
      <c r="C60" s="111" t="s">
        <v>117</v>
      </c>
      <c r="D60" s="33">
        <v>45674</v>
      </c>
      <c r="E60" s="74" t="s">
        <v>14</v>
      </c>
      <c r="F60" s="111" t="s">
        <v>610</v>
      </c>
      <c r="G60" s="74" t="s">
        <v>605</v>
      </c>
      <c r="H60" s="74" t="s">
        <v>606</v>
      </c>
      <c r="I60" s="74" t="s">
        <v>607</v>
      </c>
      <c r="J60" s="74" t="s">
        <v>608</v>
      </c>
      <c r="K60" s="74" t="s">
        <v>372</v>
      </c>
      <c r="L60" s="74" t="s">
        <v>609</v>
      </c>
      <c r="M60" s="74"/>
    </row>
    <row r="61" spans="2:13" ht="77.5" x14ac:dyDescent="0.35">
      <c r="B61" s="76">
        <f t="shared" si="0"/>
        <v>60</v>
      </c>
      <c r="C61" s="74" t="s">
        <v>535</v>
      </c>
      <c r="D61" s="33">
        <v>45706</v>
      </c>
      <c r="E61" s="74" t="s">
        <v>14</v>
      </c>
      <c r="F61" s="74" t="s">
        <v>536</v>
      </c>
      <c r="G61" s="74" t="s">
        <v>537</v>
      </c>
      <c r="H61" s="10" t="s">
        <v>341</v>
      </c>
      <c r="I61" s="10" t="s">
        <v>538</v>
      </c>
      <c r="J61" s="9" t="s">
        <v>140</v>
      </c>
      <c r="K61" s="74" t="s">
        <v>372</v>
      </c>
      <c r="L61" s="74" t="s">
        <v>539</v>
      </c>
      <c r="M61" s="74"/>
    </row>
    <row r="62" spans="2:13" ht="186" x14ac:dyDescent="0.35">
      <c r="B62" s="76">
        <f t="shared" si="0"/>
        <v>61</v>
      </c>
      <c r="C62" s="74" t="s">
        <v>445</v>
      </c>
      <c r="D62" s="33">
        <v>46020</v>
      </c>
      <c r="E62" s="74" t="s">
        <v>14</v>
      </c>
      <c r="F62" s="74" t="s">
        <v>536</v>
      </c>
      <c r="G62" s="74" t="s">
        <v>840</v>
      </c>
      <c r="H62" s="10" t="s">
        <v>841</v>
      </c>
      <c r="I62" s="10" t="s">
        <v>842</v>
      </c>
      <c r="J62" s="9" t="s">
        <v>330</v>
      </c>
      <c r="K62" s="74" t="s">
        <v>843</v>
      </c>
      <c r="L62" s="74" t="s">
        <v>844</v>
      </c>
      <c r="M62" s="74"/>
    </row>
    <row r="63" spans="2:13" ht="124" x14ac:dyDescent="0.35">
      <c r="B63" s="76">
        <f t="shared" si="0"/>
        <v>62</v>
      </c>
      <c r="C63" s="74" t="s">
        <v>178</v>
      </c>
      <c r="D63" s="33">
        <v>45692</v>
      </c>
      <c r="E63" s="74" t="s">
        <v>14</v>
      </c>
      <c r="F63" s="74" t="s">
        <v>92</v>
      </c>
      <c r="G63" s="74" t="s">
        <v>540</v>
      </c>
      <c r="H63" s="10" t="s">
        <v>341</v>
      </c>
      <c r="I63" s="10" t="s">
        <v>541</v>
      </c>
      <c r="J63" s="9" t="s">
        <v>140</v>
      </c>
      <c r="K63" s="74" t="s">
        <v>453</v>
      </c>
      <c r="L63" s="74" t="s">
        <v>542</v>
      </c>
      <c r="M63" s="74"/>
    </row>
    <row r="64" spans="2:13" ht="46.5" x14ac:dyDescent="0.35">
      <c r="B64" s="76">
        <f t="shared" si="0"/>
        <v>63</v>
      </c>
      <c r="C64" s="75" t="s">
        <v>550</v>
      </c>
      <c r="D64" s="107">
        <v>45743</v>
      </c>
      <c r="E64" s="108" t="s">
        <v>14</v>
      </c>
      <c r="F64" s="108" t="s">
        <v>551</v>
      </c>
      <c r="G64" s="108" t="s">
        <v>552</v>
      </c>
      <c r="H64" s="109" t="s">
        <v>20</v>
      </c>
      <c r="I64" s="109" t="s">
        <v>553</v>
      </c>
      <c r="J64" s="110" t="s">
        <v>330</v>
      </c>
      <c r="K64" s="108" t="s">
        <v>554</v>
      </c>
      <c r="L64" s="108"/>
      <c r="M64" s="108"/>
    </row>
    <row r="65" spans="2:13" ht="112" x14ac:dyDescent="0.35">
      <c r="B65" s="76">
        <f t="shared" si="0"/>
        <v>64</v>
      </c>
      <c r="C65" s="75" t="s">
        <v>445</v>
      </c>
      <c r="D65" s="33">
        <v>45761</v>
      </c>
      <c r="E65" s="108" t="s">
        <v>14</v>
      </c>
      <c r="F65" s="74" t="s">
        <v>34</v>
      </c>
      <c r="G65" s="74" t="s">
        <v>586</v>
      </c>
      <c r="H65" s="10" t="s">
        <v>588</v>
      </c>
      <c r="I65" s="10" t="s">
        <v>589</v>
      </c>
      <c r="J65" s="9" t="s">
        <v>330</v>
      </c>
      <c r="K65" s="74" t="s">
        <v>591</v>
      </c>
      <c r="L65" s="74" t="s">
        <v>592</v>
      </c>
      <c r="M65" s="74"/>
    </row>
    <row r="66" spans="2:13" ht="84" x14ac:dyDescent="0.35">
      <c r="B66" s="76">
        <f t="shared" si="0"/>
        <v>65</v>
      </c>
      <c r="C66" s="75" t="s">
        <v>585</v>
      </c>
      <c r="D66" s="33">
        <v>45853</v>
      </c>
      <c r="E66" s="108" t="s">
        <v>14</v>
      </c>
      <c r="F66" s="74" t="s">
        <v>34</v>
      </c>
      <c r="G66" s="74" t="s">
        <v>587</v>
      </c>
      <c r="H66" s="10"/>
      <c r="I66" s="10" t="s">
        <v>590</v>
      </c>
      <c r="J66" s="9" t="s">
        <v>330</v>
      </c>
      <c r="K66" s="74" t="s">
        <v>591</v>
      </c>
      <c r="L66" s="74" t="s">
        <v>592</v>
      </c>
      <c r="M66" s="74"/>
    </row>
    <row r="67" spans="2:13" ht="93" x14ac:dyDescent="0.35">
      <c r="B67" s="76">
        <f t="shared" si="0"/>
        <v>66</v>
      </c>
      <c r="C67" s="74" t="s">
        <v>117</v>
      </c>
      <c r="D67" s="33">
        <v>45777</v>
      </c>
      <c r="E67" s="74" t="s">
        <v>14</v>
      </c>
      <c r="F67" s="74" t="s">
        <v>544</v>
      </c>
      <c r="G67" s="74" t="s">
        <v>545</v>
      </c>
      <c r="H67" s="74" t="s">
        <v>546</v>
      </c>
      <c r="I67" s="74" t="s">
        <v>547</v>
      </c>
      <c r="J67" s="74" t="s">
        <v>19</v>
      </c>
      <c r="K67" s="74" t="s">
        <v>549</v>
      </c>
      <c r="L67" s="74" t="s">
        <v>548</v>
      </c>
      <c r="M67" s="74"/>
    </row>
    <row r="68" spans="2:13" ht="31" x14ac:dyDescent="0.35">
      <c r="B68" s="76">
        <f t="shared" si="0"/>
        <v>67</v>
      </c>
      <c r="C68" s="74" t="s">
        <v>555</v>
      </c>
      <c r="D68" s="33">
        <v>45771</v>
      </c>
      <c r="E68" s="74" t="s">
        <v>14</v>
      </c>
      <c r="F68" s="74" t="s">
        <v>366</v>
      </c>
      <c r="G68" s="74" t="s">
        <v>556</v>
      </c>
      <c r="H68" s="10" t="s">
        <v>20</v>
      </c>
      <c r="I68" s="10" t="s">
        <v>553</v>
      </c>
      <c r="J68" s="9" t="s">
        <v>330</v>
      </c>
      <c r="K68" s="74" t="s">
        <v>554</v>
      </c>
      <c r="L68" s="74"/>
      <c r="M68" s="74"/>
    </row>
    <row r="69" spans="2:13" ht="124" x14ac:dyDescent="0.35">
      <c r="B69" s="76">
        <f t="shared" si="0"/>
        <v>68</v>
      </c>
      <c r="C69" s="74" t="s">
        <v>593</v>
      </c>
      <c r="D69" s="33">
        <v>45806</v>
      </c>
      <c r="E69" s="74" t="s">
        <v>14</v>
      </c>
      <c r="F69" s="74" t="s">
        <v>594</v>
      </c>
      <c r="G69" s="74" t="s">
        <v>595</v>
      </c>
      <c r="H69" s="10" t="s">
        <v>596</v>
      </c>
      <c r="I69" s="10" t="s">
        <v>597</v>
      </c>
      <c r="J69" s="9" t="s">
        <v>330</v>
      </c>
      <c r="K69" s="74" t="s">
        <v>591</v>
      </c>
      <c r="L69" s="74" t="s">
        <v>592</v>
      </c>
      <c r="M69" s="74"/>
    </row>
    <row r="70" spans="2:13" ht="124" x14ac:dyDescent="0.35">
      <c r="B70" s="76">
        <f t="shared" si="0"/>
        <v>69</v>
      </c>
      <c r="C70" s="74" t="s">
        <v>212</v>
      </c>
      <c r="D70" s="33">
        <v>45859</v>
      </c>
      <c r="E70" s="74" t="s">
        <v>14</v>
      </c>
      <c r="F70" s="74" t="s">
        <v>578</v>
      </c>
      <c r="G70" s="74" t="s">
        <v>579</v>
      </c>
      <c r="H70" s="74" t="s">
        <v>580</v>
      </c>
      <c r="I70" s="74" t="s">
        <v>581</v>
      </c>
      <c r="J70" s="74" t="s">
        <v>582</v>
      </c>
      <c r="K70" s="74" t="s">
        <v>583</v>
      </c>
      <c r="L70" s="74" t="s">
        <v>584</v>
      </c>
      <c r="M70" s="74"/>
    </row>
    <row r="71" spans="2:13" ht="124" x14ac:dyDescent="0.35">
      <c r="B71" s="76">
        <f t="shared" si="0"/>
        <v>70</v>
      </c>
      <c r="C71" s="74" t="s">
        <v>178</v>
      </c>
      <c r="D71" s="33">
        <v>45869</v>
      </c>
      <c r="E71" s="74" t="s">
        <v>14</v>
      </c>
      <c r="F71" s="74" t="s">
        <v>566</v>
      </c>
      <c r="G71" s="74" t="s">
        <v>574</v>
      </c>
      <c r="H71" s="74" t="s">
        <v>267</v>
      </c>
      <c r="I71" s="74" t="s">
        <v>575</v>
      </c>
      <c r="J71" s="74" t="s">
        <v>20</v>
      </c>
      <c r="K71" s="74" t="s">
        <v>576</v>
      </c>
      <c r="L71" s="74" t="s">
        <v>577</v>
      </c>
      <c r="M71" s="74"/>
    </row>
    <row r="72" spans="2:13" ht="93" x14ac:dyDescent="0.35">
      <c r="B72" s="76">
        <f t="shared" si="0"/>
        <v>71</v>
      </c>
      <c r="C72" s="74" t="s">
        <v>615</v>
      </c>
      <c r="D72" s="33">
        <v>45888</v>
      </c>
      <c r="E72" s="74" t="s">
        <v>14</v>
      </c>
      <c r="F72" s="74" t="s">
        <v>566</v>
      </c>
      <c r="G72" s="74" t="s">
        <v>616</v>
      </c>
      <c r="H72" s="74"/>
      <c r="I72" s="74" t="s">
        <v>617</v>
      </c>
      <c r="J72" s="74" t="s">
        <v>20</v>
      </c>
      <c r="K72" s="74" t="s">
        <v>576</v>
      </c>
      <c r="L72" s="74" t="s">
        <v>577</v>
      </c>
      <c r="M72" s="74"/>
    </row>
    <row r="73" spans="2:13" ht="139.5" x14ac:dyDescent="0.35">
      <c r="B73" s="76">
        <f t="shared" si="0"/>
        <v>72</v>
      </c>
      <c r="C73" s="74" t="s">
        <v>652</v>
      </c>
      <c r="D73" s="33">
        <v>45911</v>
      </c>
      <c r="E73" s="74" t="s">
        <v>14</v>
      </c>
      <c r="F73" s="74" t="s">
        <v>566</v>
      </c>
      <c r="G73" s="74" t="s">
        <v>653</v>
      </c>
      <c r="H73" s="74"/>
      <c r="I73" s="74" t="s">
        <v>654</v>
      </c>
      <c r="J73" s="74" t="s">
        <v>20</v>
      </c>
      <c r="K73" s="74" t="s">
        <v>576</v>
      </c>
      <c r="L73" s="74" t="s">
        <v>577</v>
      </c>
      <c r="M73" s="74"/>
    </row>
    <row r="74" spans="2:13" ht="31" x14ac:dyDescent="0.35">
      <c r="B74" s="76">
        <f t="shared" si="0"/>
        <v>73</v>
      </c>
      <c r="C74" s="74" t="s">
        <v>658</v>
      </c>
      <c r="D74" s="33"/>
      <c r="E74" s="74" t="s">
        <v>14</v>
      </c>
      <c r="F74" s="74" t="s">
        <v>566</v>
      </c>
      <c r="G74" s="126" t="s">
        <v>737</v>
      </c>
      <c r="H74" s="127"/>
      <c r="I74" s="127"/>
      <c r="J74" s="127"/>
      <c r="K74" s="127"/>
      <c r="L74" s="128"/>
      <c r="M74" s="74"/>
    </row>
    <row r="75" spans="2:13" ht="93" x14ac:dyDescent="0.35">
      <c r="B75" s="76">
        <f t="shared" si="0"/>
        <v>74</v>
      </c>
      <c r="C75" s="74" t="s">
        <v>659</v>
      </c>
      <c r="D75" s="33">
        <v>45961</v>
      </c>
      <c r="E75" s="74" t="s">
        <v>14</v>
      </c>
      <c r="F75" s="74" t="s">
        <v>566</v>
      </c>
      <c r="G75" s="74" t="s">
        <v>660</v>
      </c>
      <c r="H75" s="74"/>
      <c r="I75" s="74" t="s">
        <v>661</v>
      </c>
      <c r="J75" s="74" t="s">
        <v>20</v>
      </c>
      <c r="K75" s="74" t="s">
        <v>576</v>
      </c>
      <c r="L75" s="74" t="s">
        <v>577</v>
      </c>
      <c r="M75" s="74"/>
    </row>
    <row r="76" spans="2:13" ht="108.5" x14ac:dyDescent="0.35">
      <c r="B76" s="76">
        <f t="shared" si="0"/>
        <v>75</v>
      </c>
      <c r="C76" s="74" t="s">
        <v>621</v>
      </c>
      <c r="D76" s="33">
        <v>45887</v>
      </c>
      <c r="E76" s="74" t="s">
        <v>14</v>
      </c>
      <c r="F76" s="74" t="s">
        <v>618</v>
      </c>
      <c r="G76" s="74" t="s">
        <v>619</v>
      </c>
      <c r="H76" s="74"/>
      <c r="I76" s="74" t="s">
        <v>620</v>
      </c>
      <c r="J76" s="74" t="s">
        <v>20</v>
      </c>
      <c r="K76" s="74" t="s">
        <v>576</v>
      </c>
      <c r="L76" s="74"/>
      <c r="M76" s="74"/>
    </row>
    <row r="77" spans="2:13" ht="263.5" x14ac:dyDescent="0.35">
      <c r="B77" s="76">
        <f t="shared" si="0"/>
        <v>76</v>
      </c>
      <c r="C77" s="74" t="s">
        <v>178</v>
      </c>
      <c r="D77" s="33">
        <v>45874</v>
      </c>
      <c r="E77" s="74" t="s">
        <v>14</v>
      </c>
      <c r="F77" s="74" t="s">
        <v>622</v>
      </c>
      <c r="G77" s="74" t="s">
        <v>623</v>
      </c>
      <c r="H77" s="74" t="s">
        <v>624</v>
      </c>
      <c r="I77" s="74" t="s">
        <v>628</v>
      </c>
      <c r="J77" s="74" t="s">
        <v>625</v>
      </c>
      <c r="K77" s="74" t="s">
        <v>627</v>
      </c>
      <c r="L77" s="74" t="s">
        <v>629</v>
      </c>
      <c r="M77" s="74"/>
    </row>
    <row r="78" spans="2:13" ht="155" x14ac:dyDescent="0.35">
      <c r="B78" s="76">
        <f t="shared" si="0"/>
        <v>77</v>
      </c>
      <c r="C78" s="74" t="s">
        <v>630</v>
      </c>
      <c r="D78" s="33">
        <v>45880</v>
      </c>
      <c r="E78" s="74" t="s">
        <v>14</v>
      </c>
      <c r="F78" s="74" t="s">
        <v>631</v>
      </c>
      <c r="G78" s="74" t="s">
        <v>632</v>
      </c>
      <c r="H78" s="74" t="s">
        <v>634</v>
      </c>
      <c r="I78" s="74" t="s">
        <v>633</v>
      </c>
      <c r="J78" s="74" t="s">
        <v>330</v>
      </c>
      <c r="K78" s="74" t="s">
        <v>636</v>
      </c>
      <c r="L78" s="74" t="s">
        <v>635</v>
      </c>
      <c r="M78" s="74"/>
    </row>
    <row r="79" spans="2:13" ht="310" x14ac:dyDescent="0.35">
      <c r="B79" s="76">
        <f t="shared" si="0"/>
        <v>78</v>
      </c>
      <c r="C79" s="74" t="s">
        <v>783</v>
      </c>
      <c r="D79" s="33">
        <v>45959</v>
      </c>
      <c r="E79" s="74" t="s">
        <v>14</v>
      </c>
      <c r="F79" s="74" t="s">
        <v>631</v>
      </c>
      <c r="G79" s="74" t="s">
        <v>784</v>
      </c>
      <c r="H79" s="74" t="s">
        <v>186</v>
      </c>
      <c r="I79" s="74" t="s">
        <v>186</v>
      </c>
      <c r="J79" s="74" t="s">
        <v>330</v>
      </c>
      <c r="K79" s="74" t="s">
        <v>786</v>
      </c>
      <c r="L79" s="74" t="s">
        <v>785</v>
      </c>
      <c r="M79" s="74"/>
    </row>
    <row r="80" spans="2:13" ht="77.5" x14ac:dyDescent="0.35">
      <c r="B80" s="76">
        <f t="shared" si="0"/>
        <v>79</v>
      </c>
      <c r="C80" s="74" t="s">
        <v>638</v>
      </c>
      <c r="D80" s="33">
        <v>45875</v>
      </c>
      <c r="E80" s="74" t="s">
        <v>14</v>
      </c>
      <c r="F80" s="74" t="s">
        <v>637</v>
      </c>
      <c r="G80" s="74" t="s">
        <v>639</v>
      </c>
      <c r="H80" s="74" t="s">
        <v>640</v>
      </c>
      <c r="I80" s="74" t="s">
        <v>641</v>
      </c>
      <c r="J80" s="74" t="s">
        <v>330</v>
      </c>
      <c r="K80" s="74" t="s">
        <v>505</v>
      </c>
      <c r="L80" s="74" t="s">
        <v>642</v>
      </c>
      <c r="M80" s="74"/>
    </row>
    <row r="81" spans="2:13" ht="77.5" x14ac:dyDescent="0.35">
      <c r="B81" s="76">
        <f t="shared" si="0"/>
        <v>80</v>
      </c>
      <c r="C81" s="74" t="s">
        <v>644</v>
      </c>
      <c r="D81" s="33">
        <v>45743</v>
      </c>
      <c r="E81" s="74" t="s">
        <v>645</v>
      </c>
      <c r="F81" s="74" t="s">
        <v>646</v>
      </c>
      <c r="G81" s="74" t="s">
        <v>647</v>
      </c>
      <c r="H81" s="74" t="s">
        <v>648</v>
      </c>
      <c r="I81" s="74" t="s">
        <v>649</v>
      </c>
      <c r="J81" s="74" t="s">
        <v>330</v>
      </c>
      <c r="K81" s="74" t="s">
        <v>453</v>
      </c>
      <c r="L81" s="74" t="s">
        <v>650</v>
      </c>
      <c r="M81" s="74"/>
    </row>
    <row r="82" spans="2:13" ht="186" x14ac:dyDescent="0.35">
      <c r="B82" s="76">
        <f t="shared" si="0"/>
        <v>81</v>
      </c>
      <c r="C82" s="74" t="s">
        <v>117</v>
      </c>
      <c r="D82" s="33">
        <v>45946</v>
      </c>
      <c r="E82" s="74" t="s">
        <v>14</v>
      </c>
      <c r="F82" s="74" t="s">
        <v>662</v>
      </c>
      <c r="G82" s="74" t="s">
        <v>663</v>
      </c>
      <c r="H82" s="74" t="s">
        <v>664</v>
      </c>
      <c r="I82" s="74" t="s">
        <v>665</v>
      </c>
      <c r="J82" s="74" t="s">
        <v>553</v>
      </c>
      <c r="K82" s="74" t="s">
        <v>667</v>
      </c>
      <c r="L82" s="74" t="s">
        <v>666</v>
      </c>
      <c r="M82" s="74"/>
    </row>
    <row r="83" spans="2:13" ht="124" x14ac:dyDescent="0.35">
      <c r="B83" s="76">
        <f t="shared" si="0"/>
        <v>82</v>
      </c>
      <c r="C83" s="74" t="s">
        <v>117</v>
      </c>
      <c r="D83" s="33">
        <v>45980</v>
      </c>
      <c r="E83" s="74" t="s">
        <v>14</v>
      </c>
      <c r="F83" s="74" t="s">
        <v>669</v>
      </c>
      <c r="G83" s="74" t="s">
        <v>670</v>
      </c>
      <c r="H83" s="74" t="s">
        <v>671</v>
      </c>
      <c r="I83" s="74" t="s">
        <v>672</v>
      </c>
      <c r="J83" s="74" t="s">
        <v>330</v>
      </c>
      <c r="K83" s="74" t="s">
        <v>673</v>
      </c>
      <c r="L83" s="74" t="s">
        <v>674</v>
      </c>
      <c r="M83" s="74"/>
    </row>
    <row r="84" spans="2:13" ht="108.5" x14ac:dyDescent="0.35">
      <c r="B84" s="76">
        <f t="shared" si="0"/>
        <v>83</v>
      </c>
      <c r="C84" s="74" t="s">
        <v>675</v>
      </c>
      <c r="D84" s="33">
        <v>45988</v>
      </c>
      <c r="E84" s="74" t="s">
        <v>14</v>
      </c>
      <c r="F84" s="74" t="s">
        <v>676</v>
      </c>
      <c r="G84" s="74" t="s">
        <v>677</v>
      </c>
      <c r="H84" s="74" t="s">
        <v>678</v>
      </c>
      <c r="I84" s="74" t="s">
        <v>679</v>
      </c>
      <c r="J84" s="74" t="s">
        <v>680</v>
      </c>
      <c r="K84" s="74" t="s">
        <v>681</v>
      </c>
      <c r="L84" s="74" t="s">
        <v>682</v>
      </c>
      <c r="M84" s="74"/>
    </row>
    <row r="85" spans="2:13" ht="124" x14ac:dyDescent="0.35">
      <c r="B85" s="76">
        <f t="shared" si="0"/>
        <v>84</v>
      </c>
      <c r="C85" s="74" t="s">
        <v>117</v>
      </c>
      <c r="D85" s="33">
        <v>45980</v>
      </c>
      <c r="E85" s="74" t="s">
        <v>14</v>
      </c>
      <c r="F85" s="74" t="s">
        <v>684</v>
      </c>
      <c r="G85" s="74" t="s">
        <v>685</v>
      </c>
      <c r="H85" s="74" t="s">
        <v>686</v>
      </c>
      <c r="I85" s="74" t="s">
        <v>687</v>
      </c>
      <c r="J85" s="74" t="s">
        <v>330</v>
      </c>
      <c r="K85" s="74" t="s">
        <v>689</v>
      </c>
      <c r="L85" s="74" t="s">
        <v>688</v>
      </c>
      <c r="M85" s="74"/>
    </row>
    <row r="86" spans="2:13" ht="201.5" x14ac:dyDescent="0.35">
      <c r="B86" s="76">
        <f t="shared" si="0"/>
        <v>85</v>
      </c>
      <c r="C86" s="74" t="s">
        <v>117</v>
      </c>
      <c r="D86" s="33">
        <v>45980</v>
      </c>
      <c r="E86" s="74" t="s">
        <v>14</v>
      </c>
      <c r="F86" s="74" t="s">
        <v>692</v>
      </c>
      <c r="G86" s="74" t="s">
        <v>685</v>
      </c>
      <c r="H86" s="74" t="s">
        <v>267</v>
      </c>
      <c r="I86" s="74" t="s">
        <v>687</v>
      </c>
      <c r="J86" s="74" t="s">
        <v>330</v>
      </c>
      <c r="K86" s="74" t="s">
        <v>689</v>
      </c>
      <c r="L86" s="74" t="s">
        <v>693</v>
      </c>
      <c r="M86" s="74"/>
    </row>
    <row r="87" spans="2:13" ht="201.5" x14ac:dyDescent="0.35">
      <c r="B87" s="76">
        <f t="shared" si="0"/>
        <v>86</v>
      </c>
      <c r="C87" s="74" t="s">
        <v>117</v>
      </c>
      <c r="D87" s="33">
        <v>46035</v>
      </c>
      <c r="E87" s="74" t="s">
        <v>755</v>
      </c>
      <c r="F87" s="74" t="s">
        <v>692</v>
      </c>
      <c r="G87" s="74" t="s">
        <v>685</v>
      </c>
      <c r="H87" s="74" t="s">
        <v>267</v>
      </c>
      <c r="I87" s="74" t="s">
        <v>807</v>
      </c>
      <c r="J87" s="74" t="s">
        <v>330</v>
      </c>
      <c r="K87" s="74" t="s">
        <v>808</v>
      </c>
      <c r="L87" s="74" t="s">
        <v>693</v>
      </c>
      <c r="M87" s="74"/>
    </row>
    <row r="88" spans="2:13" ht="94.5" customHeight="1" x14ac:dyDescent="0.35">
      <c r="B88" s="76">
        <f t="shared" si="0"/>
        <v>87</v>
      </c>
      <c r="C88" s="87" t="s">
        <v>707</v>
      </c>
      <c r="D88" s="33">
        <v>45989</v>
      </c>
      <c r="E88" s="74" t="s">
        <v>14</v>
      </c>
      <c r="F88" s="74" t="s">
        <v>708</v>
      </c>
      <c r="G88" s="74" t="s">
        <v>709</v>
      </c>
      <c r="H88" s="74" t="s">
        <v>710</v>
      </c>
      <c r="I88" s="74" t="s">
        <v>711</v>
      </c>
      <c r="J88" s="74" t="s">
        <v>330</v>
      </c>
      <c r="K88" s="74" t="s">
        <v>712</v>
      </c>
      <c r="L88" s="74" t="s">
        <v>713</v>
      </c>
      <c r="M88" s="74"/>
    </row>
    <row r="89" spans="2:13" ht="94.5" customHeight="1" x14ac:dyDescent="0.35">
      <c r="B89" s="76">
        <f t="shared" si="0"/>
        <v>88</v>
      </c>
      <c r="C89" s="87" t="s">
        <v>768</v>
      </c>
      <c r="D89" s="33">
        <v>46017</v>
      </c>
      <c r="E89" s="74" t="s">
        <v>14</v>
      </c>
      <c r="F89" s="74" t="s">
        <v>708</v>
      </c>
      <c r="G89" s="74" t="s">
        <v>769</v>
      </c>
      <c r="H89" s="74"/>
      <c r="I89" s="74"/>
      <c r="J89" s="74"/>
      <c r="K89" s="74" t="s">
        <v>712</v>
      </c>
      <c r="L89" s="74" t="s">
        <v>713</v>
      </c>
      <c r="M89" s="74"/>
    </row>
    <row r="90" spans="2:13" ht="155" x14ac:dyDescent="0.35">
      <c r="B90" s="76">
        <f t="shared" si="0"/>
        <v>89</v>
      </c>
      <c r="C90" s="74" t="s">
        <v>714</v>
      </c>
      <c r="D90" s="33">
        <v>45939</v>
      </c>
      <c r="E90" s="74" t="s">
        <v>14</v>
      </c>
      <c r="F90" s="74" t="s">
        <v>715</v>
      </c>
      <c r="G90" s="74" t="s">
        <v>716</v>
      </c>
      <c r="H90" s="74" t="s">
        <v>717</v>
      </c>
      <c r="I90" s="74" t="s">
        <v>718</v>
      </c>
      <c r="J90" s="74" t="s">
        <v>330</v>
      </c>
      <c r="K90" s="74" t="s">
        <v>712</v>
      </c>
      <c r="L90" s="74" t="s">
        <v>719</v>
      </c>
      <c r="M90" s="74"/>
    </row>
    <row r="91" spans="2:13" ht="201.5" x14ac:dyDescent="0.35">
      <c r="B91" s="76">
        <f t="shared" si="0"/>
        <v>90</v>
      </c>
      <c r="C91" s="74" t="s">
        <v>721</v>
      </c>
      <c r="D91" s="33">
        <v>45909</v>
      </c>
      <c r="E91" s="74" t="s">
        <v>645</v>
      </c>
      <c r="F91" s="74" t="s">
        <v>720</v>
      </c>
      <c r="G91" s="74" t="s">
        <v>722</v>
      </c>
      <c r="H91" s="74" t="s">
        <v>723</v>
      </c>
      <c r="I91" s="74" t="s">
        <v>724</v>
      </c>
      <c r="J91" s="74" t="s">
        <v>725</v>
      </c>
      <c r="K91" s="74" t="s">
        <v>727</v>
      </c>
      <c r="L91" s="74" t="s">
        <v>726</v>
      </c>
      <c r="M91" s="74"/>
    </row>
    <row r="92" spans="2:13" ht="124" x14ac:dyDescent="0.35">
      <c r="B92" s="76">
        <f t="shared" si="0"/>
        <v>91</v>
      </c>
      <c r="C92" s="74" t="s">
        <v>212</v>
      </c>
      <c r="D92" s="33">
        <v>45982</v>
      </c>
      <c r="E92" s="74" t="s">
        <v>14</v>
      </c>
      <c r="F92" s="74" t="s">
        <v>728</v>
      </c>
      <c r="G92" s="74" t="s">
        <v>729</v>
      </c>
      <c r="H92" s="74" t="s">
        <v>730</v>
      </c>
      <c r="I92" s="74" t="s">
        <v>731</v>
      </c>
      <c r="J92" s="74" t="s">
        <v>732</v>
      </c>
      <c r="K92" s="74" t="s">
        <v>734</v>
      </c>
      <c r="L92" s="74" t="s">
        <v>733</v>
      </c>
      <c r="M92" s="74"/>
    </row>
    <row r="93" spans="2:13" ht="46.5" x14ac:dyDescent="0.35">
      <c r="B93" s="76">
        <f t="shared" si="0"/>
        <v>92</v>
      </c>
      <c r="C93" s="74" t="s">
        <v>738</v>
      </c>
      <c r="D93" s="33">
        <v>45995</v>
      </c>
      <c r="E93" s="74" t="s">
        <v>14</v>
      </c>
      <c r="F93" s="106" t="s">
        <v>739</v>
      </c>
      <c r="G93" s="74" t="s">
        <v>740</v>
      </c>
      <c r="H93" s="74" t="s">
        <v>723</v>
      </c>
      <c r="I93" s="74" t="s">
        <v>553</v>
      </c>
      <c r="J93" s="74" t="s">
        <v>741</v>
      </c>
      <c r="K93" s="74"/>
      <c r="L93" s="74"/>
      <c r="M93" s="74"/>
    </row>
    <row r="94" spans="2:13" ht="139.5" x14ac:dyDescent="0.35">
      <c r="B94" s="76">
        <f t="shared" si="0"/>
        <v>93</v>
      </c>
      <c r="C94" s="74" t="s">
        <v>178</v>
      </c>
      <c r="D94" s="33">
        <v>45966</v>
      </c>
      <c r="E94" s="74" t="s">
        <v>742</v>
      </c>
      <c r="F94" s="106" t="s">
        <v>743</v>
      </c>
      <c r="G94" s="74" t="s">
        <v>744</v>
      </c>
      <c r="H94" s="74" t="s">
        <v>723</v>
      </c>
      <c r="I94" s="74" t="s">
        <v>746</v>
      </c>
      <c r="J94" s="74" t="s">
        <v>745</v>
      </c>
      <c r="K94" s="74" t="s">
        <v>748</v>
      </c>
      <c r="L94" s="74" t="s">
        <v>747</v>
      </c>
      <c r="M94" s="74"/>
    </row>
    <row r="95" spans="2:13" ht="62" x14ac:dyDescent="0.35">
      <c r="B95" s="76">
        <f t="shared" si="0"/>
        <v>94</v>
      </c>
      <c r="C95" s="74" t="s">
        <v>749</v>
      </c>
      <c r="D95" s="33">
        <v>45988</v>
      </c>
      <c r="E95" s="74" t="s">
        <v>14</v>
      </c>
      <c r="F95" s="106" t="s">
        <v>751</v>
      </c>
      <c r="G95" s="74" t="s">
        <v>685</v>
      </c>
      <c r="H95" s="74" t="s">
        <v>750</v>
      </c>
      <c r="I95" s="74" t="s">
        <v>754</v>
      </c>
      <c r="J95" s="74" t="s">
        <v>330</v>
      </c>
      <c r="K95" s="74" t="s">
        <v>753</v>
      </c>
      <c r="L95" s="74" t="s">
        <v>752</v>
      </c>
      <c r="M95" s="74"/>
    </row>
    <row r="96" spans="2:13" ht="139.5" x14ac:dyDescent="0.35">
      <c r="B96" s="76">
        <f t="shared" si="0"/>
        <v>95</v>
      </c>
      <c r="C96" s="74" t="s">
        <v>475</v>
      </c>
      <c r="D96" s="33">
        <v>46014</v>
      </c>
      <c r="E96" s="74" t="s">
        <v>14</v>
      </c>
      <c r="F96" s="74" t="s">
        <v>755</v>
      </c>
      <c r="G96" s="74" t="s">
        <v>756</v>
      </c>
      <c r="H96" s="74" t="s">
        <v>757</v>
      </c>
      <c r="I96" s="74" t="s">
        <v>758</v>
      </c>
      <c r="J96" s="74" t="s">
        <v>330</v>
      </c>
      <c r="K96" s="74" t="s">
        <v>681</v>
      </c>
      <c r="L96" s="74" t="s">
        <v>759</v>
      </c>
      <c r="M96" s="74"/>
    </row>
    <row r="97" spans="2:13" ht="170.5" x14ac:dyDescent="0.35">
      <c r="B97" s="76">
        <f t="shared" si="0"/>
        <v>96</v>
      </c>
      <c r="C97" s="74" t="s">
        <v>212</v>
      </c>
      <c r="D97" s="33">
        <v>46024</v>
      </c>
      <c r="E97" s="74" t="s">
        <v>14</v>
      </c>
      <c r="F97" s="74" t="s">
        <v>760</v>
      </c>
      <c r="G97" s="74" t="s">
        <v>761</v>
      </c>
      <c r="H97" s="74" t="s">
        <v>762</v>
      </c>
      <c r="I97" s="74" t="s">
        <v>763</v>
      </c>
      <c r="J97" s="74" t="s">
        <v>330</v>
      </c>
      <c r="K97" s="74" t="s">
        <v>765</v>
      </c>
      <c r="L97" s="74" t="s">
        <v>764</v>
      </c>
      <c r="M97" s="74" t="s">
        <v>766</v>
      </c>
    </row>
    <row r="98" spans="2:13" ht="108.5" x14ac:dyDescent="0.35">
      <c r="B98" s="76">
        <f t="shared" si="0"/>
        <v>97</v>
      </c>
      <c r="C98" s="74" t="s">
        <v>445</v>
      </c>
      <c r="D98" s="33">
        <v>45985</v>
      </c>
      <c r="E98" s="74" t="s">
        <v>14</v>
      </c>
      <c r="F98" s="74" t="s">
        <v>779</v>
      </c>
      <c r="G98" s="74" t="s">
        <v>685</v>
      </c>
      <c r="H98" s="74" t="s">
        <v>780</v>
      </c>
      <c r="I98" s="74" t="s">
        <v>781</v>
      </c>
      <c r="J98" s="74" t="s">
        <v>330</v>
      </c>
      <c r="K98" s="74" t="s">
        <v>753</v>
      </c>
      <c r="L98" s="74" t="s">
        <v>782</v>
      </c>
      <c r="M98" s="74"/>
    </row>
    <row r="99" spans="2:13" ht="248" x14ac:dyDescent="0.35">
      <c r="B99" s="76">
        <f t="shared" si="0"/>
        <v>98</v>
      </c>
      <c r="C99" s="74" t="s">
        <v>767</v>
      </c>
      <c r="D99" s="33">
        <v>46022</v>
      </c>
      <c r="E99" s="74" t="s">
        <v>14</v>
      </c>
      <c r="F99" s="74" t="s">
        <v>787</v>
      </c>
      <c r="G99" s="74" t="s">
        <v>788</v>
      </c>
      <c r="H99" s="74" t="s">
        <v>789</v>
      </c>
      <c r="I99" s="74" t="s">
        <v>790</v>
      </c>
      <c r="J99" s="74" t="s">
        <v>791</v>
      </c>
      <c r="K99" s="74" t="s">
        <v>792</v>
      </c>
      <c r="L99" s="74" t="s">
        <v>793</v>
      </c>
      <c r="M99" s="74"/>
    </row>
    <row r="100" spans="2:13" ht="139.5" x14ac:dyDescent="0.35">
      <c r="B100" s="76">
        <f t="shared" si="0"/>
        <v>99</v>
      </c>
      <c r="C100" s="74" t="s">
        <v>794</v>
      </c>
      <c r="D100" s="33">
        <v>46038</v>
      </c>
      <c r="E100" s="74" t="s">
        <v>14</v>
      </c>
      <c r="F100" s="74" t="s">
        <v>795</v>
      </c>
      <c r="G100" s="74" t="s">
        <v>796</v>
      </c>
      <c r="H100" s="74" t="s">
        <v>799</v>
      </c>
      <c r="I100" s="74" t="s">
        <v>800</v>
      </c>
      <c r="J100" s="74" t="s">
        <v>330</v>
      </c>
      <c r="K100" s="74" t="s">
        <v>797</v>
      </c>
      <c r="L100" s="74" t="s">
        <v>798</v>
      </c>
      <c r="M100" s="74"/>
    </row>
    <row r="101" spans="2:13" ht="108.5" x14ac:dyDescent="0.35">
      <c r="B101" s="76">
        <f t="shared" si="0"/>
        <v>100</v>
      </c>
      <c r="C101" s="74" t="s">
        <v>445</v>
      </c>
      <c r="D101" s="33">
        <v>46056</v>
      </c>
      <c r="E101" s="74" t="s">
        <v>14</v>
      </c>
      <c r="F101" s="74" t="s">
        <v>809</v>
      </c>
      <c r="G101" s="74" t="s">
        <v>817</v>
      </c>
      <c r="H101" s="74" t="s">
        <v>267</v>
      </c>
      <c r="I101" s="74" t="s">
        <v>687</v>
      </c>
      <c r="J101" s="74" t="s">
        <v>330</v>
      </c>
      <c r="K101" s="74" t="s">
        <v>689</v>
      </c>
      <c r="L101" s="74" t="s">
        <v>818</v>
      </c>
      <c r="M101" s="74"/>
    </row>
    <row r="102" spans="2:13" ht="170.5" x14ac:dyDescent="0.35">
      <c r="B102" s="76">
        <f t="shared" si="0"/>
        <v>101</v>
      </c>
      <c r="C102" s="74" t="s">
        <v>810</v>
      </c>
      <c r="D102" s="33">
        <v>46051</v>
      </c>
      <c r="E102" s="74" t="s">
        <v>14</v>
      </c>
      <c r="F102" s="74" t="s">
        <v>811</v>
      </c>
      <c r="G102" s="74" t="s">
        <v>813</v>
      </c>
      <c r="H102" s="74" t="s">
        <v>814</v>
      </c>
      <c r="I102" s="74" t="s">
        <v>813</v>
      </c>
      <c r="J102" s="74" t="s">
        <v>625</v>
      </c>
      <c r="K102" s="74" t="s">
        <v>816</v>
      </c>
      <c r="L102" s="74" t="s">
        <v>815</v>
      </c>
      <c r="M102" s="74"/>
    </row>
    <row r="103" spans="2:13" ht="201.5" x14ac:dyDescent="0.35">
      <c r="B103" s="76">
        <f t="shared" si="0"/>
        <v>102</v>
      </c>
      <c r="C103" s="74" t="s">
        <v>812</v>
      </c>
      <c r="D103" s="33">
        <v>46036</v>
      </c>
      <c r="E103" s="74" t="s">
        <v>755</v>
      </c>
      <c r="F103" s="74" t="s">
        <v>831</v>
      </c>
      <c r="G103" s="120" t="s">
        <v>819</v>
      </c>
      <c r="H103" s="74" t="s">
        <v>820</v>
      </c>
      <c r="I103" s="74" t="s">
        <v>821</v>
      </c>
      <c r="J103" s="74" t="s">
        <v>330</v>
      </c>
      <c r="K103" s="74" t="s">
        <v>823</v>
      </c>
      <c r="L103" s="74" t="s">
        <v>822</v>
      </c>
      <c r="M103" s="74"/>
    </row>
    <row r="104" spans="2:13" ht="155" x14ac:dyDescent="0.35">
      <c r="B104" s="76">
        <f t="shared" si="0"/>
        <v>103</v>
      </c>
      <c r="C104" s="74" t="s">
        <v>178</v>
      </c>
      <c r="D104" s="33">
        <v>46080</v>
      </c>
      <c r="E104" s="74" t="s">
        <v>14</v>
      </c>
      <c r="F104" s="74" t="s">
        <v>825</v>
      </c>
      <c r="G104" s="74" t="s">
        <v>826</v>
      </c>
      <c r="H104" s="121" t="s">
        <v>827</v>
      </c>
      <c r="I104" s="74" t="s">
        <v>828</v>
      </c>
      <c r="J104" s="74" t="s">
        <v>330</v>
      </c>
      <c r="K104" s="74" t="s">
        <v>829</v>
      </c>
      <c r="L104" s="74" t="s">
        <v>830</v>
      </c>
      <c r="M104" s="74"/>
    </row>
    <row r="105" spans="2:13" ht="201.5" x14ac:dyDescent="0.35">
      <c r="B105" s="76">
        <f t="shared" si="0"/>
        <v>104</v>
      </c>
      <c r="C105" s="74" t="s">
        <v>812</v>
      </c>
      <c r="D105" s="33">
        <v>46072</v>
      </c>
      <c r="E105" s="74" t="s">
        <v>14</v>
      </c>
      <c r="F105" s="74" t="s">
        <v>831</v>
      </c>
      <c r="G105" s="74" t="s">
        <v>832</v>
      </c>
      <c r="H105" s="74" t="s">
        <v>833</v>
      </c>
      <c r="I105" s="74" t="s">
        <v>835</v>
      </c>
      <c r="J105" s="74" t="s">
        <v>330</v>
      </c>
      <c r="K105" s="74" t="s">
        <v>834</v>
      </c>
      <c r="L105" s="74" t="s">
        <v>836</v>
      </c>
      <c r="M105" s="74"/>
    </row>
    <row r="106" spans="2:13" ht="46.5" x14ac:dyDescent="0.35">
      <c r="B106" s="76">
        <f t="shared" si="0"/>
        <v>105</v>
      </c>
      <c r="C106" s="74" t="s">
        <v>839</v>
      </c>
      <c r="D106" s="33">
        <v>46079</v>
      </c>
      <c r="E106" s="74" t="s">
        <v>14</v>
      </c>
      <c r="F106" s="74" t="s">
        <v>662</v>
      </c>
      <c r="G106" s="74"/>
      <c r="H106" s="74"/>
      <c r="I106" s="74"/>
      <c r="J106" s="74"/>
      <c r="K106" s="74"/>
      <c r="L106" s="74"/>
      <c r="M106" s="74"/>
    </row>
    <row r="107" spans="2:13" ht="139.5" x14ac:dyDescent="0.35">
      <c r="B107" s="76">
        <f t="shared" si="0"/>
        <v>106</v>
      </c>
      <c r="C107" s="77" t="s">
        <v>212</v>
      </c>
      <c r="D107" s="122">
        <v>46080</v>
      </c>
      <c r="E107" s="77" t="s">
        <v>14</v>
      </c>
      <c r="F107" s="77" t="s">
        <v>845</v>
      </c>
      <c r="G107" s="77" t="s">
        <v>846</v>
      </c>
      <c r="H107" s="77" t="s">
        <v>847</v>
      </c>
      <c r="I107" s="77" t="s">
        <v>848</v>
      </c>
      <c r="J107" s="77" t="s">
        <v>330</v>
      </c>
      <c r="K107" s="77" t="s">
        <v>849</v>
      </c>
      <c r="L107" s="77" t="s">
        <v>850</v>
      </c>
      <c r="M107" s="74"/>
    </row>
    <row r="108" spans="2:13" s="123" customFormat="1" ht="77.5" x14ac:dyDescent="0.35">
      <c r="B108" s="76">
        <f t="shared" si="0"/>
        <v>107</v>
      </c>
      <c r="C108" s="77" t="s">
        <v>445</v>
      </c>
      <c r="D108" s="122">
        <v>46098</v>
      </c>
      <c r="E108" s="77" t="s">
        <v>14</v>
      </c>
      <c r="F108" s="77" t="s">
        <v>851</v>
      </c>
      <c r="G108" s="77" t="s">
        <v>852</v>
      </c>
      <c r="H108" s="77" t="s">
        <v>853</v>
      </c>
      <c r="I108" s="77" t="s">
        <v>854</v>
      </c>
      <c r="J108" s="77" t="s">
        <v>330</v>
      </c>
      <c r="K108" s="77" t="s">
        <v>855</v>
      </c>
      <c r="L108" s="77" t="s">
        <v>856</v>
      </c>
      <c r="M108" s="77"/>
    </row>
    <row r="109" spans="2:13" ht="263.5" x14ac:dyDescent="0.35">
      <c r="B109" s="76">
        <f t="shared" si="0"/>
        <v>108</v>
      </c>
      <c r="C109" s="74" t="s">
        <v>445</v>
      </c>
      <c r="D109" s="33">
        <v>46076</v>
      </c>
      <c r="E109" s="77" t="s">
        <v>14</v>
      </c>
      <c r="F109" s="74" t="s">
        <v>857</v>
      </c>
      <c r="G109" s="74" t="s">
        <v>670</v>
      </c>
      <c r="H109" s="74" t="s">
        <v>858</v>
      </c>
      <c r="I109" s="74" t="s">
        <v>859</v>
      </c>
      <c r="J109" s="74" t="s">
        <v>330</v>
      </c>
      <c r="K109" s="74" t="s">
        <v>860</v>
      </c>
      <c r="L109" s="74" t="s">
        <v>861</v>
      </c>
      <c r="M109" s="74"/>
    </row>
    <row r="110" spans="2:13" ht="325.5" x14ac:dyDescent="0.35">
      <c r="B110" s="76">
        <f t="shared" si="0"/>
        <v>109</v>
      </c>
      <c r="C110" s="74" t="s">
        <v>638</v>
      </c>
      <c r="D110" s="33">
        <v>46140</v>
      </c>
      <c r="E110" s="77" t="s">
        <v>14</v>
      </c>
      <c r="F110" s="74" t="s">
        <v>871</v>
      </c>
      <c r="G110" s="74" t="s">
        <v>872</v>
      </c>
      <c r="H110" s="74" t="s">
        <v>874</v>
      </c>
      <c r="I110" s="74" t="s">
        <v>873</v>
      </c>
      <c r="J110" s="74" t="s">
        <v>330</v>
      </c>
      <c r="K110" s="74" t="s">
        <v>875</v>
      </c>
      <c r="L110" s="74" t="s">
        <v>876</v>
      </c>
      <c r="M110" s="74"/>
    </row>
    <row r="111" spans="2:13" ht="124" x14ac:dyDescent="0.35">
      <c r="B111" s="76">
        <v>110</v>
      </c>
      <c r="C111" s="74" t="s">
        <v>877</v>
      </c>
      <c r="D111" s="33" t="s">
        <v>878</v>
      </c>
      <c r="E111" s="77" t="s">
        <v>879</v>
      </c>
      <c r="F111" s="74" t="s">
        <v>496</v>
      </c>
      <c r="G111" s="74" t="s">
        <v>880</v>
      </c>
      <c r="H111" s="74" t="s">
        <v>498</v>
      </c>
      <c r="I111" s="74" t="s">
        <v>881</v>
      </c>
      <c r="J111" s="74"/>
      <c r="K111" s="74" t="s">
        <v>518</v>
      </c>
      <c r="L111" s="74"/>
      <c r="M111" s="74"/>
    </row>
    <row r="112" spans="2:13" ht="62" x14ac:dyDescent="0.35">
      <c r="B112" s="76">
        <v>111</v>
      </c>
      <c r="C112" s="74" t="s">
        <v>882</v>
      </c>
      <c r="D112" s="33" t="s">
        <v>883</v>
      </c>
      <c r="E112" s="77" t="s">
        <v>14</v>
      </c>
      <c r="F112" s="74" t="s">
        <v>884</v>
      </c>
      <c r="G112" s="74" t="s">
        <v>885</v>
      </c>
      <c r="H112" s="74" t="s">
        <v>886</v>
      </c>
      <c r="I112" s="74" t="s">
        <v>887</v>
      </c>
      <c r="J112" s="74" t="s">
        <v>330</v>
      </c>
      <c r="K112" s="74" t="s">
        <v>889</v>
      </c>
      <c r="L112" s="74" t="s">
        <v>888</v>
      </c>
      <c r="M112" s="74"/>
    </row>
    <row r="113" spans="2:16" ht="62" x14ac:dyDescent="0.35">
      <c r="B113" s="124">
        <v>112</v>
      </c>
      <c r="C113" s="108" t="s">
        <v>919</v>
      </c>
      <c r="D113" s="107" t="s">
        <v>906</v>
      </c>
      <c r="E113" s="125" t="s">
        <v>14</v>
      </c>
      <c r="F113" s="108" t="s">
        <v>893</v>
      </c>
      <c r="G113" s="108" t="s">
        <v>895</v>
      </c>
      <c r="H113" s="108" t="s">
        <v>894</v>
      </c>
      <c r="I113" s="108" t="s">
        <v>896</v>
      </c>
      <c r="J113" s="108" t="s">
        <v>330</v>
      </c>
      <c r="K113" s="108" t="s">
        <v>897</v>
      </c>
      <c r="L113" s="108"/>
      <c r="M113" s="108"/>
    </row>
    <row r="114" spans="2:16" ht="46.5" x14ac:dyDescent="0.35">
      <c r="B114" s="76">
        <v>113</v>
      </c>
      <c r="C114" s="74" t="s">
        <v>117</v>
      </c>
      <c r="D114" s="33" t="s">
        <v>899</v>
      </c>
      <c r="E114" s="77" t="s">
        <v>14</v>
      </c>
      <c r="F114" s="74" t="s">
        <v>898</v>
      </c>
      <c r="G114" s="74" t="s">
        <v>900</v>
      </c>
      <c r="H114" s="74" t="s">
        <v>901</v>
      </c>
      <c r="I114" s="74" t="s">
        <v>902</v>
      </c>
      <c r="J114" s="74" t="s">
        <v>330</v>
      </c>
      <c r="K114" s="74" t="s">
        <v>372</v>
      </c>
      <c r="L114" s="74"/>
      <c r="M114" s="74"/>
      <c r="N114" s="74"/>
      <c r="O114" s="74"/>
      <c r="P114" s="74"/>
    </row>
    <row r="115" spans="2:16" ht="46.5" x14ac:dyDescent="0.35">
      <c r="B115" s="76">
        <v>114</v>
      </c>
      <c r="C115" s="74" t="s">
        <v>117</v>
      </c>
      <c r="D115" s="33" t="s">
        <v>899</v>
      </c>
      <c r="E115" s="77" t="s">
        <v>14</v>
      </c>
      <c r="F115" s="74" t="s">
        <v>903</v>
      </c>
      <c r="G115" s="74" t="s">
        <v>904</v>
      </c>
      <c r="H115" s="74" t="s">
        <v>901</v>
      </c>
      <c r="I115" s="74" t="s">
        <v>905</v>
      </c>
      <c r="J115" s="74" t="s">
        <v>330</v>
      </c>
      <c r="K115" s="74" t="s">
        <v>372</v>
      </c>
      <c r="L115" s="74"/>
      <c r="M115" s="74"/>
      <c r="N115" s="74"/>
      <c r="O115" s="74"/>
      <c r="P115" s="74"/>
    </row>
    <row r="116" spans="2:16" ht="77.5" x14ac:dyDescent="0.35">
      <c r="B116" s="76">
        <v>115</v>
      </c>
      <c r="C116" s="74" t="s">
        <v>914</v>
      </c>
      <c r="D116" s="33" t="s">
        <v>913</v>
      </c>
      <c r="E116" s="77" t="s">
        <v>14</v>
      </c>
      <c r="F116" s="74" t="s">
        <v>915</v>
      </c>
      <c r="G116" s="74" t="s">
        <v>916</v>
      </c>
      <c r="H116" s="74" t="s">
        <v>917</v>
      </c>
      <c r="I116" s="74" t="s">
        <v>918</v>
      </c>
      <c r="J116" s="74" t="s">
        <v>912</v>
      </c>
      <c r="K116" s="74" t="s">
        <v>636</v>
      </c>
      <c r="L116" s="74"/>
      <c r="M116" s="74"/>
      <c r="N116" s="74"/>
      <c r="O116" s="74"/>
      <c r="P116" s="74"/>
    </row>
    <row r="117" spans="2:16" ht="77.5" x14ac:dyDescent="0.35">
      <c r="B117" s="74">
        <v>116</v>
      </c>
      <c r="C117" s="74" t="s">
        <v>908</v>
      </c>
      <c r="D117" s="33" t="s">
        <v>910</v>
      </c>
      <c r="E117" s="77" t="s">
        <v>14</v>
      </c>
      <c r="F117" s="74" t="s">
        <v>909</v>
      </c>
      <c r="G117" s="74" t="s">
        <v>907</v>
      </c>
      <c r="H117" s="74" t="s">
        <v>44</v>
      </c>
      <c r="I117" s="74" t="s">
        <v>911</v>
      </c>
      <c r="J117" s="74" t="s">
        <v>912</v>
      </c>
      <c r="K117" s="74" t="s">
        <v>372</v>
      </c>
      <c r="L117" s="74" t="s">
        <v>759</v>
      </c>
      <c r="M117" s="74"/>
      <c r="N117" s="74"/>
      <c r="O117" s="74"/>
      <c r="P117" s="74"/>
    </row>
    <row r="118" spans="2:16" x14ac:dyDescent="0.35">
      <c r="D118" s="114"/>
    </row>
    <row r="119" spans="2:16" x14ac:dyDescent="0.35">
      <c r="D119" s="114"/>
    </row>
    <row r="120" spans="2:16" x14ac:dyDescent="0.35">
      <c r="D120" s="114"/>
    </row>
    <row r="121" spans="2:16" x14ac:dyDescent="0.35">
      <c r="D121" s="114"/>
    </row>
    <row r="122" spans="2:16" x14ac:dyDescent="0.35">
      <c r="D122" s="114"/>
    </row>
    <row r="123" spans="2:16" x14ac:dyDescent="0.35">
      <c r="D123" s="114"/>
    </row>
    <row r="124" spans="2:16" x14ac:dyDescent="0.35">
      <c r="D124" s="114"/>
    </row>
  </sheetData>
  <mergeCells count="1">
    <mergeCell ref="G74:L74"/>
  </mergeCells>
  <conditionalFormatting sqref="F1:F115 F118:F1048576 G117">
    <cfRule type="duplicateValues" dxfId="16" priority="5"/>
  </conditionalFormatting>
  <conditionalFormatting sqref="F3:F4">
    <cfRule type="duplicateValues" dxfId="15" priority="4"/>
  </conditionalFormatting>
  <conditionalFormatting sqref="F68:F69">
    <cfRule type="duplicateValues" dxfId="14" priority="11"/>
  </conditionalFormatting>
  <conditionalFormatting sqref="F116">
    <cfRule type="duplicateValues" dxfId="13" priority="1"/>
  </conditionalFormatting>
  <pageMargins left="0.7" right="0.7" top="0.75" bottom="0.75" header="0.3" footer="0.3"/>
  <pageSetup scale="52"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J77"/>
  <sheetViews>
    <sheetView workbookViewId="0">
      <pane xSplit="1" ySplit="2" topLeftCell="B71" activePane="bottomRight" state="frozen"/>
      <selection pane="topRight" activeCell="B1" sqref="B1"/>
      <selection pane="bottomLeft" activeCell="A3" sqref="A3"/>
      <selection pane="bottomRight" activeCell="E78" sqref="E78"/>
    </sheetView>
  </sheetViews>
  <sheetFormatPr defaultRowHeight="14.5" x14ac:dyDescent="0.35"/>
  <cols>
    <col min="3" max="3" width="23.7265625" customWidth="1"/>
    <col min="4" max="4" width="16.26953125" customWidth="1"/>
    <col min="5" max="5" width="22.54296875" bestFit="1" customWidth="1"/>
    <col min="6" max="6" width="23.453125" customWidth="1"/>
    <col min="7" max="7" width="12.54296875" customWidth="1"/>
    <col min="8" max="8" width="18.453125" customWidth="1"/>
    <col min="9" max="9" width="16.7265625" customWidth="1"/>
    <col min="10" max="10" width="14.1796875" customWidth="1"/>
  </cols>
  <sheetData>
    <row r="2" spans="2:10" ht="28" x14ac:dyDescent="0.35">
      <c r="B2" s="32" t="s">
        <v>0</v>
      </c>
      <c r="C2" s="18" t="s">
        <v>1</v>
      </c>
      <c r="D2" s="18" t="s">
        <v>2</v>
      </c>
      <c r="E2" s="32" t="s">
        <v>3</v>
      </c>
      <c r="F2" s="18" t="s">
        <v>4</v>
      </c>
      <c r="G2" s="18" t="s">
        <v>5</v>
      </c>
      <c r="H2" s="18" t="s">
        <v>6</v>
      </c>
      <c r="I2" s="18" t="s">
        <v>7</v>
      </c>
      <c r="J2" s="18" t="s">
        <v>41</v>
      </c>
    </row>
    <row r="3" spans="2:10" ht="28" x14ac:dyDescent="0.35">
      <c r="B3" s="9">
        <v>1</v>
      </c>
      <c r="C3" s="5" t="s">
        <v>42</v>
      </c>
      <c r="D3" s="6">
        <v>44082</v>
      </c>
      <c r="E3" s="9" t="s">
        <v>14</v>
      </c>
      <c r="F3" s="5" t="s">
        <v>43</v>
      </c>
      <c r="G3" s="9" t="s">
        <v>20</v>
      </c>
      <c r="H3" s="9" t="s">
        <v>44</v>
      </c>
      <c r="I3" s="9" t="s">
        <v>20</v>
      </c>
      <c r="J3" s="8" t="s">
        <v>45</v>
      </c>
    </row>
    <row r="4" spans="2:10" ht="28" x14ac:dyDescent="0.35">
      <c r="B4" s="9">
        <f t="shared" ref="B4:B64" si="0">B3+1</f>
        <v>2</v>
      </c>
      <c r="C4" s="5" t="s">
        <v>42</v>
      </c>
      <c r="D4" s="6">
        <v>44110</v>
      </c>
      <c r="E4" s="9" t="s">
        <v>14</v>
      </c>
      <c r="F4" s="5" t="s">
        <v>46</v>
      </c>
      <c r="G4" s="9" t="s">
        <v>20</v>
      </c>
      <c r="H4" s="9" t="s">
        <v>44</v>
      </c>
      <c r="I4" s="9" t="s">
        <v>20</v>
      </c>
      <c r="J4" s="8" t="s">
        <v>45</v>
      </c>
    </row>
    <row r="5" spans="2:10" ht="28" x14ac:dyDescent="0.35">
      <c r="B5" s="9">
        <f t="shared" si="0"/>
        <v>3</v>
      </c>
      <c r="C5" s="5" t="s">
        <v>42</v>
      </c>
      <c r="D5" s="6">
        <v>44110</v>
      </c>
      <c r="E5" s="9" t="s">
        <v>14</v>
      </c>
      <c r="F5" s="5" t="s">
        <v>47</v>
      </c>
      <c r="G5" s="9" t="s">
        <v>20</v>
      </c>
      <c r="H5" s="9" t="s">
        <v>44</v>
      </c>
      <c r="I5" s="9" t="s">
        <v>20</v>
      </c>
      <c r="J5" s="8" t="s">
        <v>45</v>
      </c>
    </row>
    <row r="6" spans="2:10" ht="28" x14ac:dyDescent="0.35">
      <c r="B6" s="9">
        <f t="shared" si="0"/>
        <v>4</v>
      </c>
      <c r="C6" s="5" t="s">
        <v>42</v>
      </c>
      <c r="D6" s="6">
        <v>44110</v>
      </c>
      <c r="E6" s="9" t="s">
        <v>14</v>
      </c>
      <c r="F6" s="5" t="s">
        <v>48</v>
      </c>
      <c r="G6" s="9" t="s">
        <v>20</v>
      </c>
      <c r="H6" s="9" t="s">
        <v>44</v>
      </c>
      <c r="I6" s="9" t="s">
        <v>20</v>
      </c>
      <c r="J6" s="8" t="s">
        <v>45</v>
      </c>
    </row>
    <row r="7" spans="2:10" ht="28" x14ac:dyDescent="0.35">
      <c r="B7" s="9">
        <f t="shared" si="0"/>
        <v>5</v>
      </c>
      <c r="C7" s="5" t="s">
        <v>42</v>
      </c>
      <c r="D7" s="6">
        <v>44110</v>
      </c>
      <c r="E7" s="9" t="s">
        <v>14</v>
      </c>
      <c r="F7" s="5" t="s">
        <v>49</v>
      </c>
      <c r="G7" s="9" t="s">
        <v>20</v>
      </c>
      <c r="H7" s="9" t="s">
        <v>44</v>
      </c>
      <c r="I7" s="9" t="s">
        <v>20</v>
      </c>
      <c r="J7" s="8" t="s">
        <v>45</v>
      </c>
    </row>
    <row r="8" spans="2:10" ht="28" x14ac:dyDescent="0.35">
      <c r="B8" s="9">
        <f t="shared" si="0"/>
        <v>6</v>
      </c>
      <c r="C8" s="5" t="s">
        <v>42</v>
      </c>
      <c r="D8" s="6">
        <v>44111</v>
      </c>
      <c r="E8" s="9" t="s">
        <v>14</v>
      </c>
      <c r="F8" s="5" t="s">
        <v>50</v>
      </c>
      <c r="G8" s="9" t="s">
        <v>20</v>
      </c>
      <c r="H8" s="9" t="s">
        <v>44</v>
      </c>
      <c r="I8" s="9" t="s">
        <v>20</v>
      </c>
      <c r="J8" s="8" t="s">
        <v>45</v>
      </c>
    </row>
    <row r="9" spans="2:10" ht="28" x14ac:dyDescent="0.35">
      <c r="B9" s="9">
        <f t="shared" si="0"/>
        <v>7</v>
      </c>
      <c r="C9" s="5" t="s">
        <v>42</v>
      </c>
      <c r="D9" s="6">
        <v>44111</v>
      </c>
      <c r="E9" s="9" t="s">
        <v>14</v>
      </c>
      <c r="F9" s="5" t="s">
        <v>51</v>
      </c>
      <c r="G9" s="9" t="s">
        <v>20</v>
      </c>
      <c r="H9" s="9" t="s">
        <v>44</v>
      </c>
      <c r="I9" s="9" t="s">
        <v>20</v>
      </c>
      <c r="J9" s="8" t="s">
        <v>45</v>
      </c>
    </row>
    <row r="10" spans="2:10" ht="28" x14ac:dyDescent="0.35">
      <c r="B10" s="9">
        <f t="shared" si="0"/>
        <v>8</v>
      </c>
      <c r="C10" s="5" t="s">
        <v>42</v>
      </c>
      <c r="D10" s="6">
        <v>44111</v>
      </c>
      <c r="E10" s="9" t="s">
        <v>14</v>
      </c>
      <c r="F10" s="5" t="s">
        <v>52</v>
      </c>
      <c r="G10" s="9" t="s">
        <v>20</v>
      </c>
      <c r="H10" s="9" t="s">
        <v>44</v>
      </c>
      <c r="I10" s="9" t="s">
        <v>20</v>
      </c>
      <c r="J10" s="8" t="s">
        <v>45</v>
      </c>
    </row>
    <row r="11" spans="2:10" ht="28" x14ac:dyDescent="0.35">
      <c r="B11" s="9">
        <f t="shared" si="0"/>
        <v>9</v>
      </c>
      <c r="C11" s="5" t="s">
        <v>42</v>
      </c>
      <c r="D11" s="6">
        <v>44111</v>
      </c>
      <c r="E11" s="9" t="s">
        <v>14</v>
      </c>
      <c r="F11" s="5" t="s">
        <v>53</v>
      </c>
      <c r="G11" s="9" t="s">
        <v>20</v>
      </c>
      <c r="H11" s="9" t="s">
        <v>44</v>
      </c>
      <c r="I11" s="9" t="s">
        <v>20</v>
      </c>
      <c r="J11" s="8" t="s">
        <v>45</v>
      </c>
    </row>
    <row r="12" spans="2:10" ht="28" x14ac:dyDescent="0.35">
      <c r="B12" s="9">
        <f t="shared" si="0"/>
        <v>10</v>
      </c>
      <c r="C12" s="5" t="s">
        <v>42</v>
      </c>
      <c r="D12" s="6">
        <v>44112</v>
      </c>
      <c r="E12" s="9" t="s">
        <v>14</v>
      </c>
      <c r="F12" s="5" t="s">
        <v>54</v>
      </c>
      <c r="G12" s="9" t="s">
        <v>20</v>
      </c>
      <c r="H12" s="9" t="s">
        <v>44</v>
      </c>
      <c r="I12" s="9" t="s">
        <v>20</v>
      </c>
      <c r="J12" s="8" t="s">
        <v>45</v>
      </c>
    </row>
    <row r="13" spans="2:10" ht="70" x14ac:dyDescent="0.35">
      <c r="B13" s="9">
        <f>B12+1</f>
        <v>11</v>
      </c>
      <c r="C13" s="5" t="s">
        <v>42</v>
      </c>
      <c r="D13" s="6">
        <v>44136</v>
      </c>
      <c r="E13" s="9" t="s">
        <v>14</v>
      </c>
      <c r="F13" s="5" t="s">
        <v>55</v>
      </c>
      <c r="G13" s="9" t="s">
        <v>20</v>
      </c>
      <c r="H13" s="9" t="s">
        <v>44</v>
      </c>
      <c r="I13" s="9" t="s">
        <v>20</v>
      </c>
      <c r="J13" s="8" t="s">
        <v>56</v>
      </c>
    </row>
    <row r="14" spans="2:10" ht="28" x14ac:dyDescent="0.35">
      <c r="B14" s="9">
        <f t="shared" si="0"/>
        <v>12</v>
      </c>
      <c r="C14" s="5" t="s">
        <v>42</v>
      </c>
      <c r="D14" s="6">
        <v>44139</v>
      </c>
      <c r="E14" s="9" t="s">
        <v>14</v>
      </c>
      <c r="F14" s="5" t="s">
        <v>57</v>
      </c>
      <c r="G14" s="9" t="s">
        <v>20</v>
      </c>
      <c r="H14" s="9" t="s">
        <v>44</v>
      </c>
      <c r="I14" s="9" t="s">
        <v>20</v>
      </c>
      <c r="J14" s="8" t="s">
        <v>45</v>
      </c>
    </row>
    <row r="15" spans="2:10" ht="42" x14ac:dyDescent="0.35">
      <c r="B15" s="9">
        <f t="shared" si="0"/>
        <v>13</v>
      </c>
      <c r="C15" s="5" t="s">
        <v>42</v>
      </c>
      <c r="D15" s="6">
        <v>44144</v>
      </c>
      <c r="E15" s="9" t="s">
        <v>14</v>
      </c>
      <c r="F15" s="5" t="s">
        <v>58</v>
      </c>
      <c r="G15" s="9" t="s">
        <v>20</v>
      </c>
      <c r="H15" s="8" t="s">
        <v>59</v>
      </c>
      <c r="I15" s="9" t="s">
        <v>20</v>
      </c>
      <c r="J15" s="8" t="s">
        <v>45</v>
      </c>
    </row>
    <row r="16" spans="2:10" ht="28" x14ac:dyDescent="0.35">
      <c r="B16" s="9">
        <f t="shared" si="0"/>
        <v>14</v>
      </c>
      <c r="C16" s="5" t="s">
        <v>42</v>
      </c>
      <c r="D16" s="6">
        <v>44144</v>
      </c>
      <c r="E16" s="9" t="s">
        <v>14</v>
      </c>
      <c r="F16" s="5" t="s">
        <v>60</v>
      </c>
      <c r="G16" s="9" t="s">
        <v>20</v>
      </c>
      <c r="H16" s="9" t="s">
        <v>44</v>
      </c>
      <c r="I16" s="9" t="s">
        <v>20</v>
      </c>
      <c r="J16" s="8" t="s">
        <v>45</v>
      </c>
    </row>
    <row r="17" spans="2:10" ht="28" x14ac:dyDescent="0.35">
      <c r="B17" s="9">
        <f t="shared" si="0"/>
        <v>15</v>
      </c>
      <c r="C17" s="5" t="s">
        <v>42</v>
      </c>
      <c r="D17" s="6">
        <v>44148</v>
      </c>
      <c r="E17" s="9" t="s">
        <v>14</v>
      </c>
      <c r="F17" s="5" t="s">
        <v>61</v>
      </c>
      <c r="G17" s="9" t="s">
        <v>20</v>
      </c>
      <c r="H17" s="9" t="s">
        <v>44</v>
      </c>
      <c r="I17" s="9" t="s">
        <v>20</v>
      </c>
      <c r="J17" s="8" t="s">
        <v>45</v>
      </c>
    </row>
    <row r="18" spans="2:10" ht="28" x14ac:dyDescent="0.35">
      <c r="B18" s="9">
        <f t="shared" si="0"/>
        <v>16</v>
      </c>
      <c r="C18" s="5" t="s">
        <v>42</v>
      </c>
      <c r="D18" s="6">
        <v>44233</v>
      </c>
      <c r="E18" s="9" t="s">
        <v>14</v>
      </c>
      <c r="F18" s="5" t="s">
        <v>62</v>
      </c>
      <c r="G18" s="9" t="s">
        <v>20</v>
      </c>
      <c r="H18" s="9" t="s">
        <v>44</v>
      </c>
      <c r="I18" s="9" t="s">
        <v>20</v>
      </c>
      <c r="J18" s="8" t="s">
        <v>45</v>
      </c>
    </row>
    <row r="19" spans="2:10" ht="42" x14ac:dyDescent="0.35">
      <c r="B19" s="9">
        <f t="shared" si="0"/>
        <v>17</v>
      </c>
      <c r="C19" s="5" t="s">
        <v>63</v>
      </c>
      <c r="D19" s="6">
        <v>44510</v>
      </c>
      <c r="E19" s="9" t="s">
        <v>14</v>
      </c>
      <c r="F19" s="5" t="s">
        <v>64</v>
      </c>
      <c r="G19" s="9" t="s">
        <v>20</v>
      </c>
      <c r="H19" s="8" t="s">
        <v>65</v>
      </c>
      <c r="I19" s="9" t="s">
        <v>20</v>
      </c>
      <c r="J19" s="8" t="s">
        <v>66</v>
      </c>
    </row>
    <row r="20" spans="2:10" ht="28" x14ac:dyDescent="0.35">
      <c r="B20" s="9">
        <f t="shared" si="0"/>
        <v>18</v>
      </c>
      <c r="C20" s="5" t="s">
        <v>42</v>
      </c>
      <c r="D20" s="6">
        <v>44610</v>
      </c>
      <c r="E20" s="9" t="s">
        <v>14</v>
      </c>
      <c r="F20" s="5" t="s">
        <v>67</v>
      </c>
      <c r="G20" s="9" t="s">
        <v>20</v>
      </c>
      <c r="H20" s="9" t="s">
        <v>44</v>
      </c>
      <c r="I20" s="9" t="s">
        <v>20</v>
      </c>
      <c r="J20" s="8" t="s">
        <v>45</v>
      </c>
    </row>
    <row r="21" spans="2:10" ht="28" x14ac:dyDescent="0.35">
      <c r="B21" s="9">
        <f t="shared" si="0"/>
        <v>19</v>
      </c>
      <c r="C21" s="5" t="s">
        <v>42</v>
      </c>
      <c r="D21" s="6">
        <v>44789</v>
      </c>
      <c r="E21" s="9" t="s">
        <v>14</v>
      </c>
      <c r="F21" s="25" t="s">
        <v>68</v>
      </c>
      <c r="G21" s="9" t="s">
        <v>20</v>
      </c>
      <c r="H21" s="9" t="s">
        <v>44</v>
      </c>
      <c r="I21" s="9" t="s">
        <v>20</v>
      </c>
      <c r="J21" s="8" t="s">
        <v>45</v>
      </c>
    </row>
    <row r="22" spans="2:10" ht="28" x14ac:dyDescent="0.35">
      <c r="B22" s="9">
        <f t="shared" si="0"/>
        <v>20</v>
      </c>
      <c r="C22" s="5" t="s">
        <v>42</v>
      </c>
      <c r="D22" s="6">
        <v>44878</v>
      </c>
      <c r="E22" s="9" t="s">
        <v>14</v>
      </c>
      <c r="F22" s="25" t="s">
        <v>69</v>
      </c>
      <c r="G22" s="9" t="s">
        <v>20</v>
      </c>
      <c r="H22" s="9" t="s">
        <v>44</v>
      </c>
      <c r="I22" s="9" t="s">
        <v>20</v>
      </c>
      <c r="J22" s="8" t="s">
        <v>66</v>
      </c>
    </row>
    <row r="23" spans="2:10" ht="28" x14ac:dyDescent="0.35">
      <c r="B23" s="9">
        <f t="shared" si="0"/>
        <v>21</v>
      </c>
      <c r="C23" s="5" t="s">
        <v>42</v>
      </c>
      <c r="D23" s="26">
        <v>45240</v>
      </c>
      <c r="E23" s="9" t="s">
        <v>14</v>
      </c>
      <c r="F23" s="25" t="s">
        <v>70</v>
      </c>
      <c r="G23" s="4" t="s">
        <v>20</v>
      </c>
      <c r="H23" s="4" t="s">
        <v>71</v>
      </c>
      <c r="I23" s="4" t="s">
        <v>20</v>
      </c>
      <c r="J23" s="8" t="s">
        <v>66</v>
      </c>
    </row>
    <row r="24" spans="2:10" ht="28" x14ac:dyDescent="0.35">
      <c r="B24" s="9">
        <f t="shared" si="0"/>
        <v>22</v>
      </c>
      <c r="C24" s="5" t="s">
        <v>63</v>
      </c>
      <c r="D24" s="26">
        <v>45252</v>
      </c>
      <c r="E24" s="9" t="s">
        <v>14</v>
      </c>
      <c r="F24" s="25" t="s">
        <v>72</v>
      </c>
      <c r="G24" s="4" t="s">
        <v>20</v>
      </c>
      <c r="H24" s="9" t="s">
        <v>44</v>
      </c>
      <c r="I24" s="4" t="s">
        <v>20</v>
      </c>
      <c r="J24" s="8" t="s">
        <v>66</v>
      </c>
    </row>
    <row r="25" spans="2:10" ht="28" x14ac:dyDescent="0.35">
      <c r="B25" s="9">
        <f t="shared" si="0"/>
        <v>23</v>
      </c>
      <c r="C25" s="5" t="s">
        <v>42</v>
      </c>
      <c r="D25" s="6">
        <v>45279</v>
      </c>
      <c r="E25" s="9" t="s">
        <v>14</v>
      </c>
      <c r="F25" s="25" t="s">
        <v>73</v>
      </c>
      <c r="G25" s="4" t="s">
        <v>20</v>
      </c>
      <c r="H25" s="9" t="s">
        <v>44</v>
      </c>
      <c r="I25" s="4" t="s">
        <v>20</v>
      </c>
      <c r="J25" s="8" t="s">
        <v>66</v>
      </c>
    </row>
    <row r="26" spans="2:10" ht="28" x14ac:dyDescent="0.35">
      <c r="B26" s="9">
        <f t="shared" si="0"/>
        <v>24</v>
      </c>
      <c r="C26" s="5" t="s">
        <v>63</v>
      </c>
      <c r="D26" s="6">
        <v>45306</v>
      </c>
      <c r="E26" s="9" t="s">
        <v>14</v>
      </c>
      <c r="F26" s="25" t="s">
        <v>24</v>
      </c>
      <c r="G26" s="4" t="s">
        <v>20</v>
      </c>
      <c r="H26" s="9" t="s">
        <v>44</v>
      </c>
      <c r="I26" s="4" t="s">
        <v>20</v>
      </c>
      <c r="J26" s="8" t="s">
        <v>66</v>
      </c>
    </row>
    <row r="27" spans="2:10" ht="28" x14ac:dyDescent="0.35">
      <c r="B27" s="9">
        <f t="shared" si="0"/>
        <v>25</v>
      </c>
      <c r="C27" s="5" t="s">
        <v>63</v>
      </c>
      <c r="D27" s="6">
        <v>45313</v>
      </c>
      <c r="E27" s="9" t="s">
        <v>14</v>
      </c>
      <c r="F27" s="25" t="s">
        <v>74</v>
      </c>
      <c r="G27" s="4" t="s">
        <v>20</v>
      </c>
      <c r="H27" s="9" t="s">
        <v>44</v>
      </c>
      <c r="I27" s="4" t="s">
        <v>20</v>
      </c>
      <c r="J27" s="8" t="s">
        <v>66</v>
      </c>
    </row>
    <row r="28" spans="2:10" ht="28" x14ac:dyDescent="0.35">
      <c r="B28" s="9">
        <f t="shared" si="0"/>
        <v>26</v>
      </c>
      <c r="C28" s="5" t="s">
        <v>42</v>
      </c>
      <c r="D28" s="6">
        <v>45369</v>
      </c>
      <c r="E28" s="9" t="s">
        <v>14</v>
      </c>
      <c r="F28" s="25" t="s">
        <v>75</v>
      </c>
      <c r="G28" s="4" t="s">
        <v>20</v>
      </c>
      <c r="H28" s="9" t="s">
        <v>44</v>
      </c>
      <c r="I28" s="4" t="s">
        <v>20</v>
      </c>
      <c r="J28" s="8" t="s">
        <v>66</v>
      </c>
    </row>
    <row r="29" spans="2:10" ht="28" x14ac:dyDescent="0.35">
      <c r="B29" s="9">
        <f t="shared" si="0"/>
        <v>27</v>
      </c>
      <c r="C29" s="5" t="s">
        <v>42</v>
      </c>
      <c r="D29" s="6">
        <v>45370</v>
      </c>
      <c r="E29" s="9" t="s">
        <v>14</v>
      </c>
      <c r="F29" s="25" t="s">
        <v>31</v>
      </c>
      <c r="G29" s="4" t="s">
        <v>20</v>
      </c>
      <c r="H29" s="9" t="s">
        <v>44</v>
      </c>
      <c r="I29" s="4" t="s">
        <v>20</v>
      </c>
      <c r="J29" s="8" t="s">
        <v>66</v>
      </c>
    </row>
    <row r="30" spans="2:10" ht="29" x14ac:dyDescent="0.35">
      <c r="B30" s="9">
        <f t="shared" si="0"/>
        <v>28</v>
      </c>
      <c r="C30" s="27" t="s">
        <v>76</v>
      </c>
      <c r="D30" s="6">
        <v>45404</v>
      </c>
      <c r="E30" s="9" t="s">
        <v>14</v>
      </c>
      <c r="F30" s="25" t="s">
        <v>77</v>
      </c>
      <c r="G30" s="4" t="s">
        <v>20</v>
      </c>
      <c r="H30" s="9" t="s">
        <v>44</v>
      </c>
      <c r="I30" s="4" t="s">
        <v>20</v>
      </c>
      <c r="J30" s="28" t="s">
        <v>66</v>
      </c>
    </row>
    <row r="31" spans="2:10" ht="28" x14ac:dyDescent="0.35">
      <c r="B31" s="9">
        <f t="shared" si="0"/>
        <v>29</v>
      </c>
      <c r="C31" s="5" t="s">
        <v>78</v>
      </c>
      <c r="D31" s="6">
        <v>45428</v>
      </c>
      <c r="E31" s="9" t="s">
        <v>14</v>
      </c>
      <c r="F31" s="25" t="s">
        <v>79</v>
      </c>
      <c r="G31" s="4" t="s">
        <v>20</v>
      </c>
      <c r="H31" s="9" t="s">
        <v>44</v>
      </c>
      <c r="I31" s="4" t="s">
        <v>20</v>
      </c>
      <c r="J31" s="8" t="s">
        <v>66</v>
      </c>
    </row>
    <row r="32" spans="2:10" ht="28" x14ac:dyDescent="0.35">
      <c r="B32" s="9">
        <f t="shared" si="0"/>
        <v>30</v>
      </c>
      <c r="C32" s="5" t="s">
        <v>42</v>
      </c>
      <c r="D32" s="6">
        <v>45435</v>
      </c>
      <c r="E32" s="9" t="s">
        <v>14</v>
      </c>
      <c r="F32" s="25" t="s">
        <v>80</v>
      </c>
      <c r="G32" s="4" t="s">
        <v>20</v>
      </c>
      <c r="H32" s="9" t="s">
        <v>44</v>
      </c>
      <c r="I32" s="4" t="s">
        <v>20</v>
      </c>
      <c r="J32" s="8" t="s">
        <v>66</v>
      </c>
    </row>
    <row r="33" spans="2:10" ht="28" x14ac:dyDescent="0.35">
      <c r="B33" s="9">
        <f t="shared" si="0"/>
        <v>31</v>
      </c>
      <c r="C33" s="5" t="s">
        <v>63</v>
      </c>
      <c r="D33" s="6">
        <v>45455</v>
      </c>
      <c r="E33" s="9" t="s">
        <v>14</v>
      </c>
      <c r="F33" s="25" t="s">
        <v>81</v>
      </c>
      <c r="G33" s="4" t="s">
        <v>20</v>
      </c>
      <c r="H33" s="9" t="s">
        <v>44</v>
      </c>
      <c r="I33" s="4" t="s">
        <v>20</v>
      </c>
      <c r="J33" s="8" t="s">
        <v>66</v>
      </c>
    </row>
    <row r="34" spans="2:10" ht="28" x14ac:dyDescent="0.35">
      <c r="B34" s="9">
        <f t="shared" si="0"/>
        <v>32</v>
      </c>
      <c r="C34" s="5" t="s">
        <v>42</v>
      </c>
      <c r="D34" s="6">
        <v>45456</v>
      </c>
      <c r="E34" s="9" t="s">
        <v>14</v>
      </c>
      <c r="F34" s="25" t="s">
        <v>82</v>
      </c>
      <c r="G34" s="4" t="s">
        <v>20</v>
      </c>
      <c r="H34" s="9" t="s">
        <v>44</v>
      </c>
      <c r="I34" s="4" t="s">
        <v>20</v>
      </c>
      <c r="J34" s="8" t="s">
        <v>66</v>
      </c>
    </row>
    <row r="35" spans="2:10" ht="58" x14ac:dyDescent="0.35">
      <c r="B35" s="9">
        <f t="shared" si="0"/>
        <v>33</v>
      </c>
      <c r="C35" s="5" t="s">
        <v>63</v>
      </c>
      <c r="D35" s="6">
        <v>45483</v>
      </c>
      <c r="E35" s="9" t="s">
        <v>14</v>
      </c>
      <c r="F35" s="25" t="s">
        <v>83</v>
      </c>
      <c r="G35" s="4" t="s">
        <v>20</v>
      </c>
      <c r="H35" s="29" t="s">
        <v>84</v>
      </c>
      <c r="I35" s="4" t="s">
        <v>20</v>
      </c>
      <c r="J35" s="8" t="s">
        <v>66</v>
      </c>
    </row>
    <row r="36" spans="2:10" ht="29" x14ac:dyDescent="0.35">
      <c r="B36" s="9">
        <f t="shared" si="0"/>
        <v>34</v>
      </c>
      <c r="C36" s="5" t="s">
        <v>63</v>
      </c>
      <c r="D36" s="6">
        <v>45499</v>
      </c>
      <c r="E36" s="9" t="s">
        <v>14</v>
      </c>
      <c r="F36" s="25" t="s">
        <v>85</v>
      </c>
      <c r="G36" s="4" t="s">
        <v>20</v>
      </c>
      <c r="H36" s="29" t="s">
        <v>86</v>
      </c>
      <c r="I36" s="4" t="s">
        <v>20</v>
      </c>
      <c r="J36" s="8" t="s">
        <v>66</v>
      </c>
    </row>
    <row r="37" spans="2:10" ht="43.5" x14ac:dyDescent="0.35">
      <c r="B37" s="9">
        <f t="shared" si="0"/>
        <v>35</v>
      </c>
      <c r="C37" s="5" t="s">
        <v>78</v>
      </c>
      <c r="D37" s="6">
        <v>45510</v>
      </c>
      <c r="E37" s="9" t="s">
        <v>14</v>
      </c>
      <c r="F37" s="25" t="s">
        <v>87</v>
      </c>
      <c r="G37" s="4" t="s">
        <v>20</v>
      </c>
      <c r="H37" s="29" t="s">
        <v>59</v>
      </c>
      <c r="I37" s="4" t="s">
        <v>20</v>
      </c>
      <c r="J37" s="8" t="s">
        <v>66</v>
      </c>
    </row>
    <row r="38" spans="2:10" ht="29" x14ac:dyDescent="0.35">
      <c r="B38" s="9">
        <f t="shared" si="0"/>
        <v>36</v>
      </c>
      <c r="C38" s="28" t="s">
        <v>42</v>
      </c>
      <c r="D38" s="6">
        <v>45531</v>
      </c>
      <c r="E38" s="4" t="s">
        <v>14</v>
      </c>
      <c r="F38" s="30" t="s">
        <v>88</v>
      </c>
      <c r="G38" s="31" t="s">
        <v>20</v>
      </c>
      <c r="H38" s="28" t="s">
        <v>44</v>
      </c>
      <c r="I38" s="31" t="s">
        <v>20</v>
      </c>
      <c r="J38" s="28" t="s">
        <v>41</v>
      </c>
    </row>
    <row r="39" spans="2:10" ht="43.5" x14ac:dyDescent="0.35">
      <c r="B39" s="9">
        <f t="shared" si="0"/>
        <v>37</v>
      </c>
      <c r="C39" s="28" t="s">
        <v>42</v>
      </c>
      <c r="D39" s="6">
        <v>45535</v>
      </c>
      <c r="E39" s="4" t="s">
        <v>14</v>
      </c>
      <c r="F39" s="30" t="s">
        <v>89</v>
      </c>
      <c r="G39" s="31" t="s">
        <v>20</v>
      </c>
      <c r="H39" s="28" t="s">
        <v>90</v>
      </c>
      <c r="I39" s="31" t="s">
        <v>20</v>
      </c>
      <c r="J39" s="28" t="s">
        <v>41</v>
      </c>
    </row>
    <row r="40" spans="2:10" ht="28" x14ac:dyDescent="0.35">
      <c r="B40" s="9">
        <f>B38+1</f>
        <v>37</v>
      </c>
      <c r="C40" s="5" t="s">
        <v>42</v>
      </c>
      <c r="D40" s="6">
        <v>45551</v>
      </c>
      <c r="E40" s="9" t="s">
        <v>14</v>
      </c>
      <c r="F40" s="25" t="s">
        <v>91</v>
      </c>
      <c r="G40" s="4" t="s">
        <v>20</v>
      </c>
      <c r="H40" s="9" t="s">
        <v>44</v>
      </c>
      <c r="I40" s="4" t="s">
        <v>20</v>
      </c>
      <c r="J40" s="8" t="s">
        <v>66</v>
      </c>
    </row>
    <row r="41" spans="2:10" ht="29" x14ac:dyDescent="0.35">
      <c r="B41" s="9">
        <f t="shared" si="0"/>
        <v>38</v>
      </c>
      <c r="C41" s="5" t="s">
        <v>63</v>
      </c>
      <c r="D41" s="6">
        <v>45673</v>
      </c>
      <c r="E41" s="9" t="s">
        <v>14</v>
      </c>
      <c r="F41" s="25" t="s">
        <v>92</v>
      </c>
      <c r="G41" s="4" t="s">
        <v>20</v>
      </c>
      <c r="H41" s="9" t="s">
        <v>44</v>
      </c>
      <c r="I41" s="4" t="s">
        <v>20</v>
      </c>
      <c r="J41" s="28" t="s">
        <v>66</v>
      </c>
    </row>
    <row r="42" spans="2:10" ht="29" x14ac:dyDescent="0.35">
      <c r="B42" s="9">
        <f t="shared" si="0"/>
        <v>39</v>
      </c>
      <c r="C42" s="25" t="s">
        <v>76</v>
      </c>
      <c r="D42" s="6">
        <v>45574</v>
      </c>
      <c r="E42" s="9" t="s">
        <v>14</v>
      </c>
      <c r="F42" s="28" t="s">
        <v>33</v>
      </c>
      <c r="G42" s="31" t="s">
        <v>20</v>
      </c>
      <c r="H42" s="28" t="s">
        <v>93</v>
      </c>
      <c r="I42" s="31" t="s">
        <v>20</v>
      </c>
      <c r="J42" s="28" t="s">
        <v>66</v>
      </c>
    </row>
    <row r="43" spans="2:10" ht="43.5" x14ac:dyDescent="0.35">
      <c r="B43" s="9">
        <f t="shared" si="0"/>
        <v>40</v>
      </c>
      <c r="C43" s="28" t="s">
        <v>63</v>
      </c>
      <c r="D43" s="6">
        <v>45579</v>
      </c>
      <c r="E43" s="4" t="s">
        <v>14</v>
      </c>
      <c r="F43" s="28" t="s">
        <v>94</v>
      </c>
      <c r="G43" s="31" t="s">
        <v>20</v>
      </c>
      <c r="H43" s="28" t="s">
        <v>95</v>
      </c>
      <c r="I43" s="31" t="s">
        <v>20</v>
      </c>
      <c r="J43" s="28" t="s">
        <v>102</v>
      </c>
    </row>
    <row r="44" spans="2:10" ht="29" x14ac:dyDescent="0.35">
      <c r="B44" s="9">
        <f t="shared" si="0"/>
        <v>41</v>
      </c>
      <c r="C44" s="28" t="s">
        <v>78</v>
      </c>
      <c r="D44" s="6">
        <v>45593</v>
      </c>
      <c r="E44" s="4" t="s">
        <v>14</v>
      </c>
      <c r="F44" s="25" t="s">
        <v>96</v>
      </c>
      <c r="G44" s="31" t="s">
        <v>20</v>
      </c>
      <c r="H44" s="31" t="s">
        <v>44</v>
      </c>
      <c r="I44" s="31" t="s">
        <v>20</v>
      </c>
      <c r="J44" s="28" t="s">
        <v>41</v>
      </c>
    </row>
    <row r="45" spans="2:10" ht="29" x14ac:dyDescent="0.35">
      <c r="B45" s="9">
        <f t="shared" si="0"/>
        <v>42</v>
      </c>
      <c r="C45" s="25" t="s">
        <v>63</v>
      </c>
      <c r="D45" s="6">
        <v>45582</v>
      </c>
      <c r="E45" s="4" t="s">
        <v>14</v>
      </c>
      <c r="F45" s="25" t="s">
        <v>34</v>
      </c>
      <c r="G45" s="31" t="s">
        <v>20</v>
      </c>
      <c r="H45" s="28" t="s">
        <v>97</v>
      </c>
      <c r="I45" s="31" t="s">
        <v>20</v>
      </c>
      <c r="J45" s="28" t="s">
        <v>41</v>
      </c>
    </row>
    <row r="46" spans="2:10" ht="43.5" x14ac:dyDescent="0.35">
      <c r="B46" s="9">
        <f t="shared" si="0"/>
        <v>43</v>
      </c>
      <c r="C46" s="5" t="s">
        <v>42</v>
      </c>
      <c r="D46" s="6"/>
      <c r="E46" s="9" t="s">
        <v>14</v>
      </c>
      <c r="F46" s="25" t="s">
        <v>98</v>
      </c>
      <c r="G46" s="4" t="s">
        <v>20</v>
      </c>
      <c r="H46" s="9" t="s">
        <v>44</v>
      </c>
      <c r="I46" s="4" t="s">
        <v>20</v>
      </c>
      <c r="J46" s="28" t="s">
        <v>99</v>
      </c>
    </row>
    <row r="47" spans="2:10" ht="29" x14ac:dyDescent="0.35">
      <c r="B47" s="9">
        <f t="shared" si="0"/>
        <v>44</v>
      </c>
      <c r="C47" s="5" t="s">
        <v>42</v>
      </c>
      <c r="D47" s="6">
        <v>45594</v>
      </c>
      <c r="E47" s="9" t="s">
        <v>14</v>
      </c>
      <c r="F47" s="28" t="s">
        <v>100</v>
      </c>
      <c r="G47" s="20" t="s">
        <v>20</v>
      </c>
      <c r="H47" s="9" t="s">
        <v>44</v>
      </c>
      <c r="I47" s="20" t="s">
        <v>20</v>
      </c>
      <c r="J47" s="28" t="s">
        <v>41</v>
      </c>
    </row>
    <row r="48" spans="2:10" ht="29" x14ac:dyDescent="0.35">
      <c r="B48" s="9">
        <f t="shared" si="0"/>
        <v>45</v>
      </c>
      <c r="C48" s="5" t="s">
        <v>42</v>
      </c>
      <c r="D48" s="6">
        <v>45623</v>
      </c>
      <c r="E48" s="9" t="s">
        <v>14</v>
      </c>
      <c r="F48" s="28" t="s">
        <v>101</v>
      </c>
      <c r="G48" s="20" t="s">
        <v>20</v>
      </c>
      <c r="H48" s="9" t="s">
        <v>44</v>
      </c>
      <c r="I48" s="20" t="s">
        <v>20</v>
      </c>
      <c r="J48" s="28" t="s">
        <v>102</v>
      </c>
    </row>
    <row r="49" spans="2:10" ht="29" x14ac:dyDescent="0.35">
      <c r="B49" s="9">
        <f>B47+1</f>
        <v>45</v>
      </c>
      <c r="C49" s="5" t="s">
        <v>42</v>
      </c>
      <c r="D49" s="6">
        <v>45608</v>
      </c>
      <c r="E49" s="9" t="s">
        <v>14</v>
      </c>
      <c r="F49" s="28" t="s">
        <v>103</v>
      </c>
      <c r="G49" s="20" t="s">
        <v>20</v>
      </c>
      <c r="H49" s="9" t="s">
        <v>44</v>
      </c>
      <c r="I49" s="20" t="s">
        <v>20</v>
      </c>
      <c r="J49" s="28" t="s">
        <v>41</v>
      </c>
    </row>
    <row r="50" spans="2:10" ht="42" x14ac:dyDescent="0.35">
      <c r="B50" s="9">
        <f t="shared" si="0"/>
        <v>46</v>
      </c>
      <c r="C50" s="5" t="s">
        <v>42</v>
      </c>
      <c r="D50" s="6">
        <v>45649</v>
      </c>
      <c r="E50" s="9" t="s">
        <v>14</v>
      </c>
      <c r="F50" s="28" t="s">
        <v>35</v>
      </c>
      <c r="G50" s="20" t="s">
        <v>20</v>
      </c>
      <c r="H50" s="19" t="s">
        <v>104</v>
      </c>
      <c r="I50" s="20" t="s">
        <v>20</v>
      </c>
      <c r="J50" s="28" t="s">
        <v>41</v>
      </c>
    </row>
    <row r="51" spans="2:10" ht="28" x14ac:dyDescent="0.35">
      <c r="B51" s="9">
        <f t="shared" si="0"/>
        <v>47</v>
      </c>
      <c r="C51" s="5" t="s">
        <v>42</v>
      </c>
      <c r="D51" s="6">
        <v>45674</v>
      </c>
      <c r="E51" s="9" t="s">
        <v>14</v>
      </c>
      <c r="F51" s="28" t="s">
        <v>106</v>
      </c>
      <c r="G51" s="20" t="s">
        <v>20</v>
      </c>
      <c r="H51" s="9" t="s">
        <v>44</v>
      </c>
      <c r="I51" s="20" t="s">
        <v>20</v>
      </c>
      <c r="J51" s="28" t="s">
        <v>533</v>
      </c>
    </row>
    <row r="52" spans="2:10" ht="43.5" x14ac:dyDescent="0.35">
      <c r="B52" s="9">
        <f t="shared" si="0"/>
        <v>48</v>
      </c>
      <c r="C52" s="5" t="s">
        <v>42</v>
      </c>
      <c r="D52" s="6">
        <v>45680</v>
      </c>
      <c r="E52" s="9" t="s">
        <v>14</v>
      </c>
      <c r="F52" s="28" t="s">
        <v>107</v>
      </c>
      <c r="G52" s="20" t="s">
        <v>20</v>
      </c>
      <c r="H52" s="9" t="s">
        <v>44</v>
      </c>
      <c r="I52" s="20" t="s">
        <v>20</v>
      </c>
      <c r="J52" s="28" t="s">
        <v>533</v>
      </c>
    </row>
    <row r="53" spans="2:10" ht="28" x14ac:dyDescent="0.35">
      <c r="B53" s="9">
        <f t="shared" si="0"/>
        <v>49</v>
      </c>
      <c r="C53" s="5" t="s">
        <v>42</v>
      </c>
      <c r="D53" s="6">
        <v>45693</v>
      </c>
      <c r="E53" s="9" t="s">
        <v>14</v>
      </c>
      <c r="F53" s="96" t="s">
        <v>520</v>
      </c>
      <c r="G53" s="20" t="s">
        <v>20</v>
      </c>
      <c r="H53" s="9" t="s">
        <v>44</v>
      </c>
      <c r="I53" s="20" t="s">
        <v>20</v>
      </c>
      <c r="J53" s="31" t="s">
        <v>534</v>
      </c>
    </row>
    <row r="54" spans="2:10" ht="43.5" x14ac:dyDescent="0.35">
      <c r="B54" s="9">
        <f t="shared" si="0"/>
        <v>50</v>
      </c>
      <c r="C54" s="5" t="s">
        <v>42</v>
      </c>
      <c r="D54" s="6">
        <v>45713</v>
      </c>
      <c r="E54" s="9" t="s">
        <v>14</v>
      </c>
      <c r="F54" s="28" t="s">
        <v>433</v>
      </c>
      <c r="G54" s="20" t="s">
        <v>20</v>
      </c>
      <c r="H54" s="28" t="s">
        <v>529</v>
      </c>
      <c r="I54" s="20" t="s">
        <v>20</v>
      </c>
      <c r="J54" s="28" t="s">
        <v>528</v>
      </c>
    </row>
    <row r="55" spans="2:10" ht="29" x14ac:dyDescent="0.35">
      <c r="B55" s="9">
        <f t="shared" si="0"/>
        <v>51</v>
      </c>
      <c r="C55" s="5" t="s">
        <v>42</v>
      </c>
      <c r="D55" s="6"/>
      <c r="E55" s="9" t="s">
        <v>14</v>
      </c>
      <c r="F55" s="28" t="s">
        <v>532</v>
      </c>
      <c r="G55" s="31" t="s">
        <v>20</v>
      </c>
      <c r="H55" s="9" t="s">
        <v>44</v>
      </c>
      <c r="I55" s="20" t="s">
        <v>20</v>
      </c>
      <c r="J55" s="31" t="s">
        <v>533</v>
      </c>
    </row>
    <row r="56" spans="2:10" ht="29" x14ac:dyDescent="0.35">
      <c r="B56" s="9">
        <f t="shared" si="0"/>
        <v>52</v>
      </c>
      <c r="C56" s="5" t="s">
        <v>42</v>
      </c>
      <c r="D56" s="6">
        <v>45748</v>
      </c>
      <c r="E56" s="9" t="s">
        <v>14</v>
      </c>
      <c r="F56" s="28" t="s">
        <v>567</v>
      </c>
      <c r="G56" s="31" t="s">
        <v>20</v>
      </c>
      <c r="H56" s="9" t="s">
        <v>44</v>
      </c>
      <c r="I56" s="20" t="s">
        <v>20</v>
      </c>
      <c r="J56" s="28" t="s">
        <v>528</v>
      </c>
    </row>
    <row r="57" spans="2:10" ht="29" x14ac:dyDescent="0.35">
      <c r="B57" s="9">
        <f t="shared" si="0"/>
        <v>53</v>
      </c>
      <c r="C57" s="5" t="s">
        <v>42</v>
      </c>
      <c r="D57" s="6">
        <v>45775</v>
      </c>
      <c r="E57" s="9" t="s">
        <v>14</v>
      </c>
      <c r="F57" s="28" t="s">
        <v>544</v>
      </c>
      <c r="G57" s="31" t="s">
        <v>20</v>
      </c>
      <c r="H57" s="9" t="s">
        <v>44</v>
      </c>
      <c r="I57" s="20" t="s">
        <v>20</v>
      </c>
      <c r="J57" s="28" t="s">
        <v>528</v>
      </c>
    </row>
    <row r="58" spans="2:10" ht="29" x14ac:dyDescent="0.35">
      <c r="B58" s="9">
        <f t="shared" si="0"/>
        <v>54</v>
      </c>
      <c r="C58" s="5" t="s">
        <v>63</v>
      </c>
      <c r="D58" s="6">
        <v>45789</v>
      </c>
      <c r="E58" s="9" t="s">
        <v>14</v>
      </c>
      <c r="F58" s="30" t="s">
        <v>566</v>
      </c>
      <c r="G58" s="31" t="s">
        <v>20</v>
      </c>
      <c r="H58" s="9" t="s">
        <v>44</v>
      </c>
      <c r="I58" s="20" t="s">
        <v>20</v>
      </c>
      <c r="J58" s="28" t="s">
        <v>528</v>
      </c>
    </row>
    <row r="59" spans="2:10" ht="29" x14ac:dyDescent="0.35">
      <c r="B59" s="9">
        <f t="shared" si="0"/>
        <v>55</v>
      </c>
      <c r="C59" s="5" t="s">
        <v>569</v>
      </c>
      <c r="D59" s="6">
        <v>45846</v>
      </c>
      <c r="E59" s="9" t="s">
        <v>14</v>
      </c>
      <c r="F59" s="30" t="s">
        <v>568</v>
      </c>
      <c r="G59" s="31" t="s">
        <v>20</v>
      </c>
      <c r="H59" s="9" t="s">
        <v>44</v>
      </c>
      <c r="I59" s="20" t="s">
        <v>20</v>
      </c>
      <c r="J59" s="28" t="s">
        <v>528</v>
      </c>
    </row>
    <row r="60" spans="2:10" ht="29" x14ac:dyDescent="0.35">
      <c r="B60" s="9">
        <f t="shared" si="0"/>
        <v>56</v>
      </c>
      <c r="C60" s="5" t="s">
        <v>42</v>
      </c>
      <c r="D60" s="6">
        <v>45832</v>
      </c>
      <c r="E60" s="9" t="s">
        <v>14</v>
      </c>
      <c r="F60" s="28" t="s">
        <v>105</v>
      </c>
      <c r="G60" s="20" t="s">
        <v>20</v>
      </c>
      <c r="H60" s="9" t="s">
        <v>44</v>
      </c>
      <c r="I60" s="20" t="s">
        <v>20</v>
      </c>
      <c r="J60" s="28" t="s">
        <v>572</v>
      </c>
    </row>
    <row r="61" spans="2:10" ht="43.5" x14ac:dyDescent="0.35">
      <c r="B61" s="9">
        <f t="shared" si="0"/>
        <v>57</v>
      </c>
      <c r="C61" s="5" t="s">
        <v>42</v>
      </c>
      <c r="D61" s="6">
        <v>45855</v>
      </c>
      <c r="E61" s="9" t="s">
        <v>14</v>
      </c>
      <c r="F61" s="30" t="s">
        <v>573</v>
      </c>
      <c r="G61" s="20" t="s">
        <v>20</v>
      </c>
      <c r="H61" s="9" t="s">
        <v>44</v>
      </c>
      <c r="I61" s="20" t="s">
        <v>20</v>
      </c>
      <c r="J61" s="28" t="s">
        <v>533</v>
      </c>
    </row>
    <row r="62" spans="2:10" ht="29" x14ac:dyDescent="0.35">
      <c r="B62" s="9">
        <f t="shared" si="0"/>
        <v>58</v>
      </c>
      <c r="C62" s="5" t="s">
        <v>42</v>
      </c>
      <c r="D62" s="6">
        <v>45897</v>
      </c>
      <c r="E62" s="9" t="s">
        <v>14</v>
      </c>
      <c r="F62" s="30" t="s">
        <v>643</v>
      </c>
      <c r="G62" s="20" t="s">
        <v>20</v>
      </c>
      <c r="H62" s="9" t="s">
        <v>44</v>
      </c>
      <c r="I62" s="20" t="s">
        <v>20</v>
      </c>
      <c r="J62" s="28" t="s">
        <v>572</v>
      </c>
    </row>
    <row r="63" spans="2:10" ht="29" x14ac:dyDescent="0.35">
      <c r="B63" s="9">
        <f t="shared" si="0"/>
        <v>59</v>
      </c>
      <c r="C63" s="5" t="s">
        <v>42</v>
      </c>
      <c r="D63" s="6">
        <v>45908</v>
      </c>
      <c r="E63" s="9" t="s">
        <v>14</v>
      </c>
      <c r="F63" s="28" t="s">
        <v>651</v>
      </c>
      <c r="G63" s="20" t="s">
        <v>20</v>
      </c>
      <c r="H63" s="9" t="s">
        <v>44</v>
      </c>
      <c r="I63" s="20" t="s">
        <v>20</v>
      </c>
      <c r="J63" s="28" t="s">
        <v>572</v>
      </c>
    </row>
    <row r="64" spans="2:10" ht="29" x14ac:dyDescent="0.35">
      <c r="B64" s="9">
        <f t="shared" si="0"/>
        <v>60</v>
      </c>
      <c r="C64" s="5" t="s">
        <v>63</v>
      </c>
      <c r="D64" s="6">
        <v>45912</v>
      </c>
      <c r="E64" s="9" t="s">
        <v>14</v>
      </c>
      <c r="F64" s="28" t="s">
        <v>655</v>
      </c>
      <c r="G64" s="20" t="s">
        <v>20</v>
      </c>
      <c r="H64" s="9" t="s">
        <v>44</v>
      </c>
      <c r="I64" s="20" t="s">
        <v>20</v>
      </c>
      <c r="J64" s="28" t="s">
        <v>572</v>
      </c>
    </row>
    <row r="65" spans="2:10" ht="29" x14ac:dyDescent="0.35">
      <c r="B65" s="9">
        <f t="shared" ref="B65:B76" si="1">B64+1</f>
        <v>61</v>
      </c>
      <c r="C65" s="5" t="s">
        <v>42</v>
      </c>
      <c r="D65" s="6">
        <v>45925</v>
      </c>
      <c r="E65" s="9" t="s">
        <v>14</v>
      </c>
      <c r="F65" s="115" t="s">
        <v>656</v>
      </c>
      <c r="G65" s="20" t="s">
        <v>20</v>
      </c>
      <c r="H65" s="9" t="s">
        <v>44</v>
      </c>
      <c r="I65" s="20" t="s">
        <v>20</v>
      </c>
      <c r="J65" s="28" t="s">
        <v>657</v>
      </c>
    </row>
    <row r="66" spans="2:10" ht="29" x14ac:dyDescent="0.35">
      <c r="B66" s="9">
        <f t="shared" si="1"/>
        <v>62</v>
      </c>
      <c r="C66" s="5" t="s">
        <v>42</v>
      </c>
      <c r="D66" s="6">
        <v>45966</v>
      </c>
      <c r="E66" s="9" t="s">
        <v>14</v>
      </c>
      <c r="F66" s="30" t="s">
        <v>668</v>
      </c>
      <c r="G66" s="20" t="s">
        <v>20</v>
      </c>
      <c r="H66" s="9" t="s">
        <v>44</v>
      </c>
      <c r="I66" s="20" t="s">
        <v>20</v>
      </c>
      <c r="J66" s="28" t="s">
        <v>657</v>
      </c>
    </row>
    <row r="67" spans="2:10" ht="29" x14ac:dyDescent="0.35">
      <c r="B67" s="110">
        <f t="shared" si="1"/>
        <v>63</v>
      </c>
      <c r="C67" s="117" t="s">
        <v>42</v>
      </c>
      <c r="D67" s="118">
        <v>45982</v>
      </c>
      <c r="E67" s="110" t="s">
        <v>14</v>
      </c>
      <c r="F67" s="116" t="s">
        <v>683</v>
      </c>
      <c r="G67" s="119" t="s">
        <v>20</v>
      </c>
      <c r="H67" s="110" t="s">
        <v>44</v>
      </c>
      <c r="I67" s="119" t="s">
        <v>20</v>
      </c>
      <c r="J67" s="28" t="s">
        <v>657</v>
      </c>
    </row>
    <row r="68" spans="2:10" ht="87" x14ac:dyDescent="0.35">
      <c r="B68" s="9">
        <f t="shared" si="1"/>
        <v>64</v>
      </c>
      <c r="C68" s="5" t="s">
        <v>63</v>
      </c>
      <c r="D68" s="6">
        <v>45980</v>
      </c>
      <c r="E68" s="9" t="s">
        <v>14</v>
      </c>
      <c r="F68" s="28" t="s">
        <v>690</v>
      </c>
      <c r="G68" s="20" t="s">
        <v>20</v>
      </c>
      <c r="H68" s="9" t="s">
        <v>44</v>
      </c>
      <c r="I68" s="20" t="s">
        <v>20</v>
      </c>
      <c r="J68" s="28" t="s">
        <v>691</v>
      </c>
    </row>
    <row r="69" spans="2:10" ht="87" x14ac:dyDescent="0.35">
      <c r="B69" s="9">
        <f t="shared" si="1"/>
        <v>65</v>
      </c>
      <c r="C69" s="5" t="s">
        <v>63</v>
      </c>
      <c r="D69" s="6">
        <v>45937</v>
      </c>
      <c r="E69" s="9" t="s">
        <v>14</v>
      </c>
      <c r="F69" s="28" t="s">
        <v>694</v>
      </c>
      <c r="G69" s="20" t="s">
        <v>20</v>
      </c>
      <c r="H69" s="9" t="s">
        <v>44</v>
      </c>
      <c r="I69" s="20" t="s">
        <v>20</v>
      </c>
      <c r="J69" s="28" t="s">
        <v>691</v>
      </c>
    </row>
    <row r="70" spans="2:10" ht="29" x14ac:dyDescent="0.35">
      <c r="B70" s="9">
        <f t="shared" si="1"/>
        <v>66</v>
      </c>
      <c r="C70" s="5" t="s">
        <v>42</v>
      </c>
      <c r="D70" s="6">
        <v>45937</v>
      </c>
      <c r="E70" s="9" t="s">
        <v>14</v>
      </c>
      <c r="F70" s="28" t="s">
        <v>695</v>
      </c>
      <c r="G70" s="20" t="s">
        <v>20</v>
      </c>
      <c r="H70" s="9" t="s">
        <v>44</v>
      </c>
      <c r="I70" s="20" t="s">
        <v>20</v>
      </c>
      <c r="J70" s="28" t="s">
        <v>696</v>
      </c>
    </row>
    <row r="71" spans="2:10" ht="42" x14ac:dyDescent="0.35">
      <c r="B71" s="9">
        <f t="shared" si="1"/>
        <v>67</v>
      </c>
      <c r="C71" s="5" t="s">
        <v>42</v>
      </c>
      <c r="D71" s="6">
        <v>46058</v>
      </c>
      <c r="E71" s="9" t="s">
        <v>14</v>
      </c>
      <c r="F71" s="8" t="s">
        <v>801</v>
      </c>
      <c r="G71" s="9" t="s">
        <v>20</v>
      </c>
      <c r="H71" s="9" t="s">
        <v>44</v>
      </c>
      <c r="I71" s="9" t="s">
        <v>20</v>
      </c>
      <c r="J71" s="28" t="s">
        <v>696</v>
      </c>
    </row>
    <row r="72" spans="2:10" ht="29" x14ac:dyDescent="0.35">
      <c r="B72" s="9">
        <f t="shared" si="1"/>
        <v>68</v>
      </c>
      <c r="C72" s="5" t="s">
        <v>63</v>
      </c>
      <c r="D72" s="6">
        <v>46062</v>
      </c>
      <c r="E72" s="9" t="s">
        <v>14</v>
      </c>
      <c r="F72" s="9" t="s">
        <v>802</v>
      </c>
      <c r="G72" s="9" t="s">
        <v>20</v>
      </c>
      <c r="H72" s="8" t="s">
        <v>805</v>
      </c>
      <c r="I72" s="9" t="s">
        <v>20</v>
      </c>
      <c r="J72" s="28" t="s">
        <v>696</v>
      </c>
    </row>
    <row r="73" spans="2:10" ht="29" x14ac:dyDescent="0.35">
      <c r="B73" s="9">
        <f t="shared" si="1"/>
        <v>69</v>
      </c>
      <c r="C73" s="5" t="s">
        <v>63</v>
      </c>
      <c r="D73" s="6">
        <v>46063</v>
      </c>
      <c r="E73" s="8" t="s">
        <v>804</v>
      </c>
      <c r="F73" s="8" t="s">
        <v>803</v>
      </c>
      <c r="G73" s="8" t="s">
        <v>20</v>
      </c>
      <c r="H73" s="8" t="s">
        <v>806</v>
      </c>
      <c r="I73" s="8" t="s">
        <v>20</v>
      </c>
      <c r="J73" s="28" t="s">
        <v>696</v>
      </c>
    </row>
    <row r="74" spans="2:10" ht="29" x14ac:dyDescent="0.35">
      <c r="B74" s="9">
        <f t="shared" si="1"/>
        <v>70</v>
      </c>
      <c r="C74" s="5" t="s">
        <v>63</v>
      </c>
      <c r="D74" s="6">
        <v>46064</v>
      </c>
      <c r="E74" s="31" t="s">
        <v>14</v>
      </c>
      <c r="F74" s="31" t="s">
        <v>824</v>
      </c>
      <c r="G74" s="8" t="s">
        <v>20</v>
      </c>
      <c r="H74" s="8" t="s">
        <v>806</v>
      </c>
      <c r="I74" s="8" t="s">
        <v>20</v>
      </c>
      <c r="J74" s="28" t="s">
        <v>696</v>
      </c>
    </row>
    <row r="75" spans="2:10" ht="29" x14ac:dyDescent="0.35">
      <c r="B75" s="9">
        <f t="shared" si="1"/>
        <v>71</v>
      </c>
      <c r="C75" s="5" t="s">
        <v>42</v>
      </c>
      <c r="D75" s="6">
        <v>46085</v>
      </c>
      <c r="E75" s="28" t="s">
        <v>14</v>
      </c>
      <c r="F75" s="28" t="s">
        <v>837</v>
      </c>
      <c r="G75" s="31" t="s">
        <v>20</v>
      </c>
      <c r="H75" s="28" t="s">
        <v>838</v>
      </c>
      <c r="I75" s="8" t="s">
        <v>20</v>
      </c>
      <c r="J75" s="28" t="s">
        <v>696</v>
      </c>
    </row>
    <row r="76" spans="2:10" ht="43.5" x14ac:dyDescent="0.35">
      <c r="B76" s="9">
        <f t="shared" si="1"/>
        <v>72</v>
      </c>
      <c r="C76" s="8" t="s">
        <v>862</v>
      </c>
      <c r="D76" s="6">
        <v>46114</v>
      </c>
      <c r="E76" s="8" t="s">
        <v>804</v>
      </c>
      <c r="F76" s="8" t="s">
        <v>863</v>
      </c>
      <c r="G76" s="28" t="s">
        <v>891</v>
      </c>
      <c r="H76" s="8" t="s">
        <v>864</v>
      </c>
      <c r="I76" s="8" t="s">
        <v>20</v>
      </c>
      <c r="J76" s="8" t="s">
        <v>696</v>
      </c>
    </row>
    <row r="77" spans="2:10" ht="56" x14ac:dyDescent="0.35">
      <c r="B77">
        <v>73</v>
      </c>
      <c r="C77" s="28" t="s">
        <v>862</v>
      </c>
      <c r="D77" s="6">
        <v>46122</v>
      </c>
      <c r="E77" s="8" t="s">
        <v>804</v>
      </c>
      <c r="F77" s="8" t="s">
        <v>890</v>
      </c>
      <c r="G77" s="28" t="s">
        <v>891</v>
      </c>
      <c r="H77" s="8" t="s">
        <v>892</v>
      </c>
      <c r="I77" s="8" t="s">
        <v>20</v>
      </c>
      <c r="J77" s="8" t="s">
        <v>696</v>
      </c>
    </row>
  </sheetData>
  <conditionalFormatting sqref="J1:J60 J78:J1048576">
    <cfRule type="containsText" dxfId="12" priority="6" operator="containsText" text="signed by IndiaBonds">
      <formula>NOT(ISERROR(SEARCH("signed by IndiaBonds",J1)))</formula>
    </cfRule>
  </conditionalFormatting>
  <conditionalFormatting sqref="J61">
    <cfRule type="containsText" dxfId="11" priority="5" operator="containsText" text="signed by IndiaBonds">
      <formula>NOT(ISERROR(SEARCH("signed by IndiaBonds",J61)))</formula>
    </cfRule>
  </conditionalFormatting>
  <conditionalFormatting sqref="J62:J67">
    <cfRule type="containsText" dxfId="10" priority="4" operator="containsText" text="signed by IndiaBonds">
      <formula>NOT(ISERROR(SEARCH("signed by IndiaBonds",J62)))</formula>
    </cfRule>
  </conditionalFormatting>
  <conditionalFormatting sqref="J68:J75">
    <cfRule type="containsText" dxfId="9" priority="2" operator="containsText" text="signed by IndiaBonds">
      <formula>NOT(ISERROR(SEARCH("signed by IndiaBonds",J68)))</formula>
    </cfRule>
  </conditionalFormatting>
  <conditionalFormatting sqref="G76:G77">
    <cfRule type="containsText" dxfId="8" priority="1" operator="containsText" text="signed by IndiaBonds">
      <formula>NOT(ISERROR(SEARCH("signed by IndiaBonds",G76)))</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B2:N139"/>
  <sheetViews>
    <sheetView zoomScale="84" workbookViewId="0">
      <selection activeCell="H8" sqref="H8"/>
    </sheetView>
  </sheetViews>
  <sheetFormatPr defaultRowHeight="14.5" x14ac:dyDescent="0.35"/>
  <cols>
    <col min="2" max="2" width="6.7265625" bestFit="1" customWidth="1"/>
    <col min="3" max="3" width="19" bestFit="1" customWidth="1"/>
    <col min="4" max="4" width="10.26953125" bestFit="1" customWidth="1"/>
    <col min="5" max="5" width="26.453125" customWidth="1"/>
    <col min="6" max="6" width="30.1796875" customWidth="1"/>
    <col min="7" max="8" width="15.81640625" customWidth="1"/>
    <col min="9" max="9" width="13.7265625" customWidth="1"/>
    <col min="10" max="10" width="10.7265625" customWidth="1"/>
    <col min="11" max="11" width="11.453125" customWidth="1"/>
    <col min="12" max="12" width="14.7265625" customWidth="1"/>
    <col min="13" max="13" width="16.26953125" customWidth="1"/>
    <col min="14" max="14" width="12.54296875" customWidth="1"/>
  </cols>
  <sheetData>
    <row r="2" spans="2:14" s="17" customFormat="1" ht="42" x14ac:dyDescent="0.35">
      <c r="B2" s="21" t="s">
        <v>0</v>
      </c>
      <c r="C2" s="21" t="s">
        <v>1</v>
      </c>
      <c r="D2" s="21" t="s">
        <v>2</v>
      </c>
      <c r="E2" s="21" t="s">
        <v>36</v>
      </c>
      <c r="F2" s="21" t="s">
        <v>5</v>
      </c>
      <c r="G2" s="21" t="s">
        <v>6</v>
      </c>
      <c r="H2" s="21" t="s">
        <v>37</v>
      </c>
      <c r="I2" s="21" t="s">
        <v>7</v>
      </c>
      <c r="J2" s="21" t="s">
        <v>8</v>
      </c>
      <c r="K2" s="21" t="s">
        <v>9</v>
      </c>
      <c r="L2" s="21" t="s">
        <v>10</v>
      </c>
      <c r="M2" s="21" t="s">
        <v>11</v>
      </c>
      <c r="N2" s="21" t="s">
        <v>12</v>
      </c>
    </row>
    <row r="3" spans="2:14" ht="56" x14ac:dyDescent="0.35">
      <c r="B3" s="4">
        <v>1</v>
      </c>
      <c r="C3" s="5" t="s">
        <v>13</v>
      </c>
      <c r="D3" s="6">
        <v>44987</v>
      </c>
      <c r="E3" s="7" t="s">
        <v>15</v>
      </c>
      <c r="F3" s="8" t="s">
        <v>16</v>
      </c>
      <c r="G3" s="8" t="s">
        <v>17</v>
      </c>
      <c r="H3" s="22" t="s">
        <v>38</v>
      </c>
      <c r="I3" s="8" t="s">
        <v>18</v>
      </c>
      <c r="J3" s="9" t="s">
        <v>19</v>
      </c>
      <c r="K3" s="9" t="s">
        <v>20</v>
      </c>
      <c r="L3" s="9" t="s">
        <v>21</v>
      </c>
      <c r="M3" s="10" t="s">
        <v>22</v>
      </c>
      <c r="N3" s="11"/>
    </row>
    <row r="4" spans="2:14" ht="42" x14ac:dyDescent="0.35">
      <c r="B4" s="4">
        <f t="shared" ref="B4:B10" si="0">B3+1</f>
        <v>2</v>
      </c>
      <c r="C4" s="5" t="s">
        <v>23</v>
      </c>
      <c r="D4" s="6">
        <v>45365</v>
      </c>
      <c r="E4" s="12" t="s">
        <v>24</v>
      </c>
      <c r="F4" s="8" t="s">
        <v>25</v>
      </c>
      <c r="G4" s="8" t="s">
        <v>26</v>
      </c>
      <c r="H4" s="22" t="s">
        <v>38</v>
      </c>
      <c r="I4" s="8" t="s">
        <v>27</v>
      </c>
      <c r="J4" s="9" t="s">
        <v>19</v>
      </c>
      <c r="K4" s="9" t="s">
        <v>20</v>
      </c>
      <c r="L4" s="10" t="s">
        <v>28</v>
      </c>
      <c r="M4" s="12" t="s">
        <v>29</v>
      </c>
      <c r="N4" s="11"/>
    </row>
    <row r="5" spans="2:14" ht="42" x14ac:dyDescent="0.35">
      <c r="B5" s="4">
        <f t="shared" si="0"/>
        <v>3</v>
      </c>
      <c r="C5" s="5" t="s">
        <v>23</v>
      </c>
      <c r="D5" s="6">
        <v>45383</v>
      </c>
      <c r="E5" s="12" t="s">
        <v>30</v>
      </c>
      <c r="F5" s="8" t="s">
        <v>25</v>
      </c>
      <c r="G5" s="8" t="s">
        <v>26</v>
      </c>
      <c r="H5" s="22" t="s">
        <v>38</v>
      </c>
      <c r="I5" s="8" t="s">
        <v>27</v>
      </c>
      <c r="J5" s="9" t="s">
        <v>19</v>
      </c>
      <c r="K5" s="9" t="s">
        <v>20</v>
      </c>
      <c r="L5" s="10" t="s">
        <v>28</v>
      </c>
      <c r="M5" s="12"/>
      <c r="N5" s="11"/>
    </row>
    <row r="6" spans="2:14" ht="42" x14ac:dyDescent="0.35">
      <c r="B6" s="4">
        <f t="shared" si="0"/>
        <v>4</v>
      </c>
      <c r="C6" s="5" t="s">
        <v>23</v>
      </c>
      <c r="D6" s="6">
        <v>45428</v>
      </c>
      <c r="E6" s="12" t="s">
        <v>31</v>
      </c>
      <c r="F6" s="8" t="s">
        <v>25</v>
      </c>
      <c r="G6" s="8" t="s">
        <v>26</v>
      </c>
      <c r="H6" s="22"/>
      <c r="I6" s="8" t="s">
        <v>27</v>
      </c>
      <c r="J6" s="9" t="s">
        <v>19</v>
      </c>
      <c r="K6" s="9" t="s">
        <v>20</v>
      </c>
      <c r="L6" s="10" t="s">
        <v>28</v>
      </c>
      <c r="M6" s="12"/>
      <c r="N6" s="11" t="s">
        <v>530</v>
      </c>
    </row>
    <row r="7" spans="2:14" ht="42" x14ac:dyDescent="0.35">
      <c r="B7" s="4">
        <f t="shared" si="0"/>
        <v>5</v>
      </c>
      <c r="C7" s="5" t="s">
        <v>23</v>
      </c>
      <c r="D7" s="6">
        <v>45572</v>
      </c>
      <c r="E7" s="12" t="s">
        <v>32</v>
      </c>
      <c r="F7" s="8" t="s">
        <v>25</v>
      </c>
      <c r="G7" s="8" t="s">
        <v>26</v>
      </c>
      <c r="H7" s="22"/>
      <c r="I7" s="8" t="s">
        <v>27</v>
      </c>
      <c r="J7" s="9" t="s">
        <v>19</v>
      </c>
      <c r="K7" s="9" t="s">
        <v>20</v>
      </c>
      <c r="L7" s="10" t="s">
        <v>28</v>
      </c>
      <c r="M7" s="12"/>
      <c r="N7" s="11" t="s">
        <v>531</v>
      </c>
    </row>
    <row r="8" spans="2:14" ht="42" x14ac:dyDescent="0.35">
      <c r="B8" s="4">
        <f t="shared" si="0"/>
        <v>6</v>
      </c>
      <c r="C8" s="5" t="s">
        <v>23</v>
      </c>
      <c r="D8" s="13"/>
      <c r="E8" s="14" t="s">
        <v>33</v>
      </c>
      <c r="F8" s="15" t="s">
        <v>25</v>
      </c>
      <c r="G8" s="15" t="s">
        <v>26</v>
      </c>
      <c r="H8" s="23"/>
      <c r="I8" s="20"/>
      <c r="J8" s="20"/>
      <c r="K8" s="20"/>
      <c r="L8" s="20"/>
      <c r="M8" s="20"/>
      <c r="N8" s="20"/>
    </row>
    <row r="9" spans="2:14" ht="42" x14ac:dyDescent="0.35">
      <c r="B9" s="4">
        <f t="shared" si="0"/>
        <v>7</v>
      </c>
      <c r="C9" s="5" t="s">
        <v>23</v>
      </c>
      <c r="D9" s="13"/>
      <c r="E9" s="14" t="s">
        <v>34</v>
      </c>
      <c r="F9" s="15" t="s">
        <v>25</v>
      </c>
      <c r="G9" s="15" t="s">
        <v>26</v>
      </c>
      <c r="H9" s="23"/>
      <c r="I9" s="20"/>
      <c r="J9" s="20"/>
      <c r="K9" s="20"/>
      <c r="L9" s="20"/>
      <c r="M9" s="20"/>
      <c r="N9" s="20"/>
    </row>
    <row r="10" spans="2:14" ht="42" x14ac:dyDescent="0.35">
      <c r="B10" s="4">
        <f t="shared" si="0"/>
        <v>8</v>
      </c>
      <c r="C10" s="16" t="s">
        <v>23</v>
      </c>
      <c r="D10" s="13"/>
      <c r="E10" s="14" t="s">
        <v>35</v>
      </c>
      <c r="F10" s="15" t="s">
        <v>25</v>
      </c>
      <c r="G10" s="15" t="s">
        <v>26</v>
      </c>
      <c r="H10" s="23"/>
      <c r="I10" s="20"/>
      <c r="J10" s="20"/>
      <c r="K10" s="20"/>
      <c r="L10" s="20"/>
      <c r="M10" s="20"/>
      <c r="N10" s="20"/>
    </row>
    <row r="11" spans="2:14" x14ac:dyDescent="0.35">
      <c r="H11" s="24"/>
    </row>
    <row r="12" spans="2:14" x14ac:dyDescent="0.35">
      <c r="H12" s="24"/>
    </row>
    <row r="13" spans="2:14" x14ac:dyDescent="0.35">
      <c r="H13" s="24"/>
    </row>
    <row r="14" spans="2:14" x14ac:dyDescent="0.35">
      <c r="H14" s="24"/>
    </row>
    <row r="15" spans="2:14" x14ac:dyDescent="0.35">
      <c r="H15" s="24"/>
    </row>
    <row r="16" spans="2:14" x14ac:dyDescent="0.35">
      <c r="H16" s="24"/>
    </row>
    <row r="17" spans="8:8" x14ac:dyDescent="0.35">
      <c r="H17" s="24"/>
    </row>
    <row r="18" spans="8:8" x14ac:dyDescent="0.35">
      <c r="H18" s="24"/>
    </row>
    <row r="19" spans="8:8" x14ac:dyDescent="0.35">
      <c r="H19" s="24"/>
    </row>
    <row r="20" spans="8:8" x14ac:dyDescent="0.35">
      <c r="H20" s="24"/>
    </row>
    <row r="21" spans="8:8" x14ac:dyDescent="0.35">
      <c r="H21" s="24"/>
    </row>
    <row r="22" spans="8:8" x14ac:dyDescent="0.35">
      <c r="H22" s="24"/>
    </row>
    <row r="23" spans="8:8" x14ac:dyDescent="0.35">
      <c r="H23" s="24"/>
    </row>
    <row r="24" spans="8:8" x14ac:dyDescent="0.35">
      <c r="H24" s="24"/>
    </row>
    <row r="25" spans="8:8" x14ac:dyDescent="0.35">
      <c r="H25" s="24"/>
    </row>
    <row r="26" spans="8:8" x14ac:dyDescent="0.35">
      <c r="H26" s="24"/>
    </row>
    <row r="27" spans="8:8" x14ac:dyDescent="0.35">
      <c r="H27" s="24"/>
    </row>
    <row r="28" spans="8:8" x14ac:dyDescent="0.35">
      <c r="H28" s="24"/>
    </row>
    <row r="29" spans="8:8" x14ac:dyDescent="0.35">
      <c r="H29" s="24"/>
    </row>
    <row r="30" spans="8:8" x14ac:dyDescent="0.35">
      <c r="H30" s="24"/>
    </row>
    <row r="31" spans="8:8" x14ac:dyDescent="0.35">
      <c r="H31" s="24"/>
    </row>
    <row r="32" spans="8:8" x14ac:dyDescent="0.35">
      <c r="H32" s="24"/>
    </row>
    <row r="33" spans="8:8" x14ac:dyDescent="0.35">
      <c r="H33" s="24"/>
    </row>
    <row r="34" spans="8:8" x14ac:dyDescent="0.35">
      <c r="H34" s="24"/>
    </row>
    <row r="35" spans="8:8" x14ac:dyDescent="0.35">
      <c r="H35" s="24"/>
    </row>
    <row r="36" spans="8:8" x14ac:dyDescent="0.35">
      <c r="H36" s="24"/>
    </row>
    <row r="37" spans="8:8" x14ac:dyDescent="0.35">
      <c r="H37" s="24"/>
    </row>
    <row r="38" spans="8:8" x14ac:dyDescent="0.35">
      <c r="H38" s="24"/>
    </row>
    <row r="39" spans="8:8" x14ac:dyDescent="0.35">
      <c r="H39" s="24"/>
    </row>
    <row r="40" spans="8:8" x14ac:dyDescent="0.35">
      <c r="H40" s="24"/>
    </row>
    <row r="41" spans="8:8" x14ac:dyDescent="0.35">
      <c r="H41" s="24"/>
    </row>
    <row r="42" spans="8:8" x14ac:dyDescent="0.35">
      <c r="H42" s="24"/>
    </row>
    <row r="43" spans="8:8" x14ac:dyDescent="0.35">
      <c r="H43" s="24"/>
    </row>
    <row r="44" spans="8:8" x14ac:dyDescent="0.35">
      <c r="H44" s="24"/>
    </row>
    <row r="45" spans="8:8" x14ac:dyDescent="0.35">
      <c r="H45" s="24"/>
    </row>
    <row r="46" spans="8:8" x14ac:dyDescent="0.35">
      <c r="H46" s="24"/>
    </row>
    <row r="47" spans="8:8" x14ac:dyDescent="0.35">
      <c r="H47" s="24"/>
    </row>
    <row r="48" spans="8:8" x14ac:dyDescent="0.35">
      <c r="H48" s="24"/>
    </row>
    <row r="49" spans="8:8" x14ac:dyDescent="0.35">
      <c r="H49" s="24"/>
    </row>
    <row r="50" spans="8:8" x14ac:dyDescent="0.35">
      <c r="H50" s="24"/>
    </row>
    <row r="51" spans="8:8" x14ac:dyDescent="0.35">
      <c r="H51" s="24"/>
    </row>
    <row r="52" spans="8:8" x14ac:dyDescent="0.35">
      <c r="H52" s="24"/>
    </row>
    <row r="53" spans="8:8" x14ac:dyDescent="0.35">
      <c r="H53" s="24"/>
    </row>
    <row r="54" spans="8:8" x14ac:dyDescent="0.35">
      <c r="H54" s="24"/>
    </row>
    <row r="55" spans="8:8" x14ac:dyDescent="0.35">
      <c r="H55" s="24"/>
    </row>
    <row r="56" spans="8:8" x14ac:dyDescent="0.35">
      <c r="H56" s="24"/>
    </row>
    <row r="57" spans="8:8" x14ac:dyDescent="0.35">
      <c r="H57" s="24"/>
    </row>
    <row r="58" spans="8:8" x14ac:dyDescent="0.35">
      <c r="H58" s="24"/>
    </row>
    <row r="59" spans="8:8" x14ac:dyDescent="0.35">
      <c r="H59" s="24"/>
    </row>
    <row r="60" spans="8:8" x14ac:dyDescent="0.35">
      <c r="H60" s="24"/>
    </row>
    <row r="61" spans="8:8" x14ac:dyDescent="0.35">
      <c r="H61" s="24"/>
    </row>
    <row r="62" spans="8:8" x14ac:dyDescent="0.35">
      <c r="H62" s="24"/>
    </row>
    <row r="63" spans="8:8" x14ac:dyDescent="0.35">
      <c r="H63" s="24"/>
    </row>
    <row r="64" spans="8:8" x14ac:dyDescent="0.35">
      <c r="H64" s="24"/>
    </row>
    <row r="65" spans="8:8" x14ac:dyDescent="0.35">
      <c r="H65" s="24"/>
    </row>
    <row r="66" spans="8:8" x14ac:dyDescent="0.35">
      <c r="H66" s="24"/>
    </row>
    <row r="67" spans="8:8" x14ac:dyDescent="0.35">
      <c r="H67" s="24"/>
    </row>
    <row r="68" spans="8:8" x14ac:dyDescent="0.35">
      <c r="H68" s="24"/>
    </row>
    <row r="69" spans="8:8" x14ac:dyDescent="0.35">
      <c r="H69" s="24"/>
    </row>
    <row r="70" spans="8:8" x14ac:dyDescent="0.35">
      <c r="H70" s="24"/>
    </row>
    <row r="71" spans="8:8" x14ac:dyDescent="0.35">
      <c r="H71" s="24"/>
    </row>
    <row r="72" spans="8:8" x14ac:dyDescent="0.35">
      <c r="H72" s="24"/>
    </row>
    <row r="73" spans="8:8" x14ac:dyDescent="0.35">
      <c r="H73" s="24"/>
    </row>
    <row r="74" spans="8:8" x14ac:dyDescent="0.35">
      <c r="H74" s="24"/>
    </row>
    <row r="75" spans="8:8" x14ac:dyDescent="0.35">
      <c r="H75" s="24"/>
    </row>
    <row r="76" spans="8:8" x14ac:dyDescent="0.35">
      <c r="H76" s="24"/>
    </row>
    <row r="77" spans="8:8" x14ac:dyDescent="0.35">
      <c r="H77" s="24"/>
    </row>
    <row r="78" spans="8:8" x14ac:dyDescent="0.35">
      <c r="H78" s="24"/>
    </row>
    <row r="79" spans="8:8" x14ac:dyDescent="0.35">
      <c r="H79" s="24"/>
    </row>
    <row r="80" spans="8:8" x14ac:dyDescent="0.35">
      <c r="H80" s="24"/>
    </row>
    <row r="81" spans="8:8" x14ac:dyDescent="0.35">
      <c r="H81" s="24"/>
    </row>
    <row r="82" spans="8:8" x14ac:dyDescent="0.35">
      <c r="H82" s="24"/>
    </row>
    <row r="83" spans="8:8" x14ac:dyDescent="0.35">
      <c r="H83" s="24"/>
    </row>
    <row r="84" spans="8:8" x14ac:dyDescent="0.35">
      <c r="H84" s="24"/>
    </row>
    <row r="85" spans="8:8" x14ac:dyDescent="0.35">
      <c r="H85" s="24"/>
    </row>
    <row r="86" spans="8:8" x14ac:dyDescent="0.35">
      <c r="H86" s="24"/>
    </row>
    <row r="87" spans="8:8" x14ac:dyDescent="0.35">
      <c r="H87" s="24"/>
    </row>
    <row r="88" spans="8:8" x14ac:dyDescent="0.35">
      <c r="H88" s="24"/>
    </row>
    <row r="89" spans="8:8" x14ac:dyDescent="0.35">
      <c r="H89" s="24"/>
    </row>
    <row r="90" spans="8:8" x14ac:dyDescent="0.35">
      <c r="H90" s="24"/>
    </row>
    <row r="91" spans="8:8" x14ac:dyDescent="0.35">
      <c r="H91" s="24"/>
    </row>
    <row r="92" spans="8:8" x14ac:dyDescent="0.35">
      <c r="H92" s="24"/>
    </row>
    <row r="93" spans="8:8" x14ac:dyDescent="0.35">
      <c r="H93" s="24"/>
    </row>
    <row r="94" spans="8:8" x14ac:dyDescent="0.35">
      <c r="H94" s="24"/>
    </row>
    <row r="95" spans="8:8" x14ac:dyDescent="0.35">
      <c r="H95" s="24"/>
    </row>
    <row r="96" spans="8:8" x14ac:dyDescent="0.35">
      <c r="H96" s="24"/>
    </row>
    <row r="97" spans="8:8" x14ac:dyDescent="0.35">
      <c r="H97" s="24"/>
    </row>
    <row r="98" spans="8:8" x14ac:dyDescent="0.35">
      <c r="H98" s="24"/>
    </row>
    <row r="99" spans="8:8" x14ac:dyDescent="0.35">
      <c r="H99" s="24"/>
    </row>
    <row r="100" spans="8:8" x14ac:dyDescent="0.35">
      <c r="H100" s="24"/>
    </row>
    <row r="101" spans="8:8" x14ac:dyDescent="0.35">
      <c r="H101" s="24"/>
    </row>
    <row r="102" spans="8:8" x14ac:dyDescent="0.35">
      <c r="H102" s="24"/>
    </row>
    <row r="103" spans="8:8" x14ac:dyDescent="0.35">
      <c r="H103" s="24"/>
    </row>
    <row r="104" spans="8:8" x14ac:dyDescent="0.35">
      <c r="H104" s="24"/>
    </row>
    <row r="105" spans="8:8" x14ac:dyDescent="0.35">
      <c r="H105" s="24"/>
    </row>
    <row r="106" spans="8:8" x14ac:dyDescent="0.35">
      <c r="H106" s="24"/>
    </row>
    <row r="107" spans="8:8" x14ac:dyDescent="0.35">
      <c r="H107" s="24"/>
    </row>
    <row r="108" spans="8:8" x14ac:dyDescent="0.35">
      <c r="H108" s="24"/>
    </row>
    <row r="109" spans="8:8" x14ac:dyDescent="0.35">
      <c r="H109" s="24"/>
    </row>
    <row r="110" spans="8:8" x14ac:dyDescent="0.35">
      <c r="H110" s="24"/>
    </row>
    <row r="111" spans="8:8" x14ac:dyDescent="0.35">
      <c r="H111" s="24"/>
    </row>
    <row r="112" spans="8:8" x14ac:dyDescent="0.35">
      <c r="H112" s="24"/>
    </row>
    <row r="113" spans="8:8" x14ac:dyDescent="0.35">
      <c r="H113" s="24"/>
    </row>
    <row r="114" spans="8:8" x14ac:dyDescent="0.35">
      <c r="H114" s="24"/>
    </row>
    <row r="115" spans="8:8" x14ac:dyDescent="0.35">
      <c r="H115" s="24"/>
    </row>
    <row r="116" spans="8:8" x14ac:dyDescent="0.35">
      <c r="H116" s="24"/>
    </row>
    <row r="117" spans="8:8" x14ac:dyDescent="0.35">
      <c r="H117" s="24"/>
    </row>
    <row r="118" spans="8:8" x14ac:dyDescent="0.35">
      <c r="H118" s="24"/>
    </row>
    <row r="119" spans="8:8" x14ac:dyDescent="0.35">
      <c r="H119" s="24"/>
    </row>
    <row r="120" spans="8:8" x14ac:dyDescent="0.35">
      <c r="H120" s="24"/>
    </row>
    <row r="121" spans="8:8" x14ac:dyDescent="0.35">
      <c r="H121" s="24"/>
    </row>
    <row r="122" spans="8:8" x14ac:dyDescent="0.35">
      <c r="H122" s="24"/>
    </row>
    <row r="123" spans="8:8" x14ac:dyDescent="0.35">
      <c r="H123" s="24"/>
    </row>
    <row r="124" spans="8:8" x14ac:dyDescent="0.35">
      <c r="H124" s="24"/>
    </row>
    <row r="125" spans="8:8" x14ac:dyDescent="0.35">
      <c r="H125" s="24"/>
    </row>
    <row r="126" spans="8:8" x14ac:dyDescent="0.35">
      <c r="H126" s="24"/>
    </row>
    <row r="127" spans="8:8" x14ac:dyDescent="0.35">
      <c r="H127" s="24"/>
    </row>
    <row r="128" spans="8:8" x14ac:dyDescent="0.35">
      <c r="H128" s="24"/>
    </row>
    <row r="129" spans="8:8" x14ac:dyDescent="0.35">
      <c r="H129" s="24"/>
    </row>
    <row r="130" spans="8:8" x14ac:dyDescent="0.35">
      <c r="H130" s="24"/>
    </row>
    <row r="131" spans="8:8" x14ac:dyDescent="0.35">
      <c r="H131" s="24"/>
    </row>
    <row r="132" spans="8:8" x14ac:dyDescent="0.35">
      <c r="H132" s="24"/>
    </row>
    <row r="133" spans="8:8" x14ac:dyDescent="0.35">
      <c r="H133" s="24"/>
    </row>
    <row r="134" spans="8:8" x14ac:dyDescent="0.35">
      <c r="H134" s="24"/>
    </row>
    <row r="135" spans="8:8" x14ac:dyDescent="0.35">
      <c r="H135" s="24"/>
    </row>
    <row r="136" spans="8:8" x14ac:dyDescent="0.35">
      <c r="H136" s="24"/>
    </row>
    <row r="137" spans="8:8" x14ac:dyDescent="0.35">
      <c r="H137" s="24"/>
    </row>
    <row r="138" spans="8:8" x14ac:dyDescent="0.35">
      <c r="H138" s="24"/>
    </row>
    <row r="139" spans="8:8" x14ac:dyDescent="0.35">
      <c r="H139" s="24"/>
    </row>
  </sheetData>
  <conditionalFormatting sqref="H1:H1048576">
    <cfRule type="containsText" dxfId="7" priority="1" operator="containsText" text="Active">
      <formula>NOT(ISERROR(SEARCH("Active",H1)))</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'Input Sheet'!$B$2:$B$4</xm:f>
          </x14:formula1>
          <xm:sqref>H1:H1048576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15"/>
  <sheetViews>
    <sheetView topLeftCell="A13" workbookViewId="0">
      <selection activeCell="F26" sqref="F26"/>
    </sheetView>
  </sheetViews>
  <sheetFormatPr defaultRowHeight="14.5" x14ac:dyDescent="0.35"/>
  <cols>
    <col min="3" max="3" width="11.7265625" bestFit="1" customWidth="1"/>
    <col min="4" max="4" width="10.26953125" bestFit="1" customWidth="1"/>
    <col min="5" max="5" width="14" bestFit="1" customWidth="1"/>
    <col min="6" max="6" width="23.81640625" style="17" bestFit="1" customWidth="1"/>
    <col min="7" max="7" width="34.26953125" customWidth="1"/>
    <col min="8" max="8" width="11.26953125" bestFit="1" customWidth="1"/>
    <col min="9" max="9" width="21.453125" style="17" customWidth="1"/>
    <col min="10" max="10" width="8.453125" bestFit="1" customWidth="1"/>
    <col min="11" max="11" width="19.26953125" customWidth="1"/>
    <col min="12" max="12" width="20.7265625" customWidth="1"/>
    <col min="13" max="13" width="24" customWidth="1"/>
  </cols>
  <sheetData>
    <row r="1" spans="2:13" ht="28" x14ac:dyDescent="0.35">
      <c r="B1" s="2" t="s">
        <v>0</v>
      </c>
      <c r="C1" s="1" t="s">
        <v>1</v>
      </c>
      <c r="D1" s="2" t="s">
        <v>2</v>
      </c>
      <c r="E1" s="2" t="s">
        <v>115</v>
      </c>
      <c r="F1" s="2" t="s">
        <v>4</v>
      </c>
      <c r="G1" s="2" t="s">
        <v>5</v>
      </c>
      <c r="H1" s="2" t="s">
        <v>6</v>
      </c>
      <c r="I1" s="2" t="s">
        <v>7</v>
      </c>
      <c r="J1" s="3" t="s">
        <v>8</v>
      </c>
      <c r="K1" s="3" t="s">
        <v>10</v>
      </c>
      <c r="L1" s="3" t="s">
        <v>11</v>
      </c>
      <c r="M1" s="2" t="s">
        <v>12</v>
      </c>
    </row>
    <row r="2" spans="2:13" ht="56" x14ac:dyDescent="0.35">
      <c r="B2" s="45">
        <v>1</v>
      </c>
      <c r="C2" s="5" t="s">
        <v>337</v>
      </c>
      <c r="D2" s="33">
        <v>45532</v>
      </c>
      <c r="E2" s="10" t="s">
        <v>338</v>
      </c>
      <c r="F2" s="10" t="s">
        <v>339</v>
      </c>
      <c r="G2" s="10" t="s">
        <v>340</v>
      </c>
      <c r="H2" s="10" t="s">
        <v>341</v>
      </c>
      <c r="I2" s="10" t="s">
        <v>342</v>
      </c>
      <c r="J2" s="9" t="s">
        <v>19</v>
      </c>
      <c r="K2" s="10" t="s">
        <v>343</v>
      </c>
      <c r="L2" s="10" t="s">
        <v>344</v>
      </c>
      <c r="M2" s="31"/>
    </row>
    <row r="3" spans="2:13" ht="56" x14ac:dyDescent="0.35">
      <c r="B3" s="45">
        <f t="shared" ref="B3:B15" si="0">B2+1</f>
        <v>2</v>
      </c>
      <c r="C3" s="5" t="s">
        <v>337</v>
      </c>
      <c r="D3" s="33">
        <v>45532</v>
      </c>
      <c r="E3" s="10" t="s">
        <v>145</v>
      </c>
      <c r="F3" s="10" t="s">
        <v>339</v>
      </c>
      <c r="G3" s="10" t="s">
        <v>340</v>
      </c>
      <c r="H3" s="10" t="s">
        <v>341</v>
      </c>
      <c r="I3" s="10" t="s">
        <v>345</v>
      </c>
      <c r="J3" s="9" t="s">
        <v>19</v>
      </c>
      <c r="K3" s="10" t="s">
        <v>346</v>
      </c>
      <c r="L3" s="10" t="s">
        <v>344</v>
      </c>
      <c r="M3" s="31"/>
    </row>
    <row r="4" spans="2:13" ht="56" x14ac:dyDescent="0.35">
      <c r="B4" s="45">
        <f t="shared" si="0"/>
        <v>3</v>
      </c>
      <c r="C4" s="5" t="s">
        <v>337</v>
      </c>
      <c r="D4" s="33">
        <v>45532</v>
      </c>
      <c r="E4" s="10" t="s">
        <v>347</v>
      </c>
      <c r="F4" s="10" t="s">
        <v>339</v>
      </c>
      <c r="G4" s="10" t="s">
        <v>340</v>
      </c>
      <c r="H4" s="10" t="s">
        <v>341</v>
      </c>
      <c r="I4" s="10" t="s">
        <v>342</v>
      </c>
      <c r="J4" s="9" t="s">
        <v>19</v>
      </c>
      <c r="K4" s="10" t="s">
        <v>348</v>
      </c>
      <c r="L4" s="10" t="s">
        <v>344</v>
      </c>
      <c r="M4" s="31"/>
    </row>
    <row r="5" spans="2:13" ht="56" x14ac:dyDescent="0.35">
      <c r="B5" s="45">
        <f t="shared" si="0"/>
        <v>4</v>
      </c>
      <c r="C5" s="5" t="s">
        <v>337</v>
      </c>
      <c r="D5" s="33">
        <v>45532</v>
      </c>
      <c r="E5" s="10" t="s">
        <v>227</v>
      </c>
      <c r="F5" s="10" t="s">
        <v>339</v>
      </c>
      <c r="G5" s="10" t="s">
        <v>340</v>
      </c>
      <c r="H5" s="10" t="s">
        <v>341</v>
      </c>
      <c r="I5" s="10" t="s">
        <v>342</v>
      </c>
      <c r="J5" s="9" t="s">
        <v>19</v>
      </c>
      <c r="K5" s="10" t="s">
        <v>349</v>
      </c>
      <c r="L5" s="10" t="s">
        <v>344</v>
      </c>
      <c r="M5" s="31"/>
    </row>
    <row r="6" spans="2:13" ht="70" x14ac:dyDescent="0.35">
      <c r="B6" s="45">
        <f t="shared" si="0"/>
        <v>5</v>
      </c>
      <c r="C6" s="5" t="s">
        <v>350</v>
      </c>
      <c r="D6" s="33">
        <v>45532</v>
      </c>
      <c r="E6" s="10" t="s">
        <v>145</v>
      </c>
      <c r="F6" s="8" t="s">
        <v>14</v>
      </c>
      <c r="G6" s="10" t="s">
        <v>351</v>
      </c>
      <c r="H6" s="10" t="s">
        <v>341</v>
      </c>
      <c r="I6" s="10" t="s">
        <v>352</v>
      </c>
      <c r="J6" s="8" t="s">
        <v>19</v>
      </c>
      <c r="K6" s="8" t="s">
        <v>346</v>
      </c>
      <c r="L6" s="8" t="s">
        <v>353</v>
      </c>
      <c r="M6" s="31"/>
    </row>
    <row r="7" spans="2:13" ht="70" x14ac:dyDescent="0.35">
      <c r="B7" s="45">
        <f t="shared" si="0"/>
        <v>6</v>
      </c>
      <c r="C7" s="5" t="s">
        <v>350</v>
      </c>
      <c r="D7" s="33">
        <v>45532</v>
      </c>
      <c r="E7" s="10" t="s">
        <v>124</v>
      </c>
      <c r="F7" s="8" t="s">
        <v>14</v>
      </c>
      <c r="G7" s="10" t="s">
        <v>351</v>
      </c>
      <c r="H7" s="10" t="s">
        <v>341</v>
      </c>
      <c r="I7" s="10" t="s">
        <v>352</v>
      </c>
      <c r="J7" s="8" t="s">
        <v>19</v>
      </c>
      <c r="K7" s="8" t="s">
        <v>346</v>
      </c>
      <c r="L7" s="8" t="s">
        <v>353</v>
      </c>
      <c r="M7" s="31"/>
    </row>
    <row r="8" spans="2:13" ht="70" x14ac:dyDescent="0.35">
      <c r="B8" s="45">
        <f t="shared" si="0"/>
        <v>7</v>
      </c>
      <c r="C8" s="5" t="s">
        <v>350</v>
      </c>
      <c r="D8" s="33">
        <v>45532</v>
      </c>
      <c r="E8" s="10" t="s">
        <v>176</v>
      </c>
      <c r="F8" s="8" t="s">
        <v>14</v>
      </c>
      <c r="G8" s="10" t="s">
        <v>351</v>
      </c>
      <c r="H8" s="10" t="s">
        <v>341</v>
      </c>
      <c r="I8" s="10" t="s">
        <v>354</v>
      </c>
      <c r="J8" s="8" t="s">
        <v>19</v>
      </c>
      <c r="K8" s="8" t="s">
        <v>349</v>
      </c>
      <c r="L8" s="8" t="s">
        <v>353</v>
      </c>
      <c r="M8" s="31"/>
    </row>
    <row r="9" spans="2:13" ht="56" x14ac:dyDescent="0.35">
      <c r="B9" s="45">
        <f t="shared" si="0"/>
        <v>8</v>
      </c>
      <c r="C9" s="37" t="s">
        <v>406</v>
      </c>
      <c r="D9" s="6">
        <v>45189</v>
      </c>
      <c r="E9" s="12" t="s">
        <v>14</v>
      </c>
      <c r="F9" s="5" t="s">
        <v>322</v>
      </c>
      <c r="G9" s="38" t="s">
        <v>407</v>
      </c>
      <c r="H9" s="10" t="s">
        <v>408</v>
      </c>
      <c r="I9" s="8" t="s">
        <v>409</v>
      </c>
      <c r="J9" s="9" t="s">
        <v>19</v>
      </c>
      <c r="K9" s="12" t="s">
        <v>410</v>
      </c>
      <c r="L9" s="12" t="s">
        <v>411</v>
      </c>
      <c r="M9" s="31"/>
    </row>
    <row r="10" spans="2:13" ht="56" x14ac:dyDescent="0.35">
      <c r="B10" s="45">
        <f t="shared" si="0"/>
        <v>9</v>
      </c>
      <c r="C10" s="5" t="s">
        <v>421</v>
      </c>
      <c r="D10" s="6">
        <v>45212</v>
      </c>
      <c r="E10" s="12" t="s">
        <v>14</v>
      </c>
      <c r="F10" s="12" t="s">
        <v>426</v>
      </c>
      <c r="G10" s="38" t="s">
        <v>422</v>
      </c>
      <c r="H10" s="10" t="s">
        <v>423</v>
      </c>
      <c r="I10" s="8" t="s">
        <v>424</v>
      </c>
      <c r="J10" s="9" t="s">
        <v>19</v>
      </c>
      <c r="K10" s="12" t="s">
        <v>411</v>
      </c>
      <c r="L10" s="12" t="s">
        <v>425</v>
      </c>
      <c r="M10" s="31"/>
    </row>
    <row r="11" spans="2:13" ht="98" x14ac:dyDescent="0.35">
      <c r="B11" s="45">
        <f t="shared" si="0"/>
        <v>10</v>
      </c>
      <c r="C11" s="5" t="s">
        <v>475</v>
      </c>
      <c r="D11" s="33">
        <v>45499</v>
      </c>
      <c r="E11" s="10" t="s">
        <v>14</v>
      </c>
      <c r="F11" s="12" t="s">
        <v>339</v>
      </c>
      <c r="G11" s="10" t="s">
        <v>476</v>
      </c>
      <c r="H11" s="10" t="s">
        <v>341</v>
      </c>
      <c r="I11" s="10" t="s">
        <v>477</v>
      </c>
      <c r="J11" s="9" t="s">
        <v>19</v>
      </c>
      <c r="K11" s="10" t="s">
        <v>478</v>
      </c>
      <c r="L11" s="10" t="s">
        <v>479</v>
      </c>
      <c r="M11" s="31"/>
    </row>
    <row r="12" spans="2:13" s="17" customFormat="1" ht="56" x14ac:dyDescent="0.35">
      <c r="B12" s="45">
        <f t="shared" si="0"/>
        <v>11</v>
      </c>
      <c r="C12" s="5" t="s">
        <v>108</v>
      </c>
      <c r="D12" s="33">
        <v>45555</v>
      </c>
      <c r="E12" s="10" t="s">
        <v>339</v>
      </c>
      <c r="F12" s="12" t="s">
        <v>278</v>
      </c>
      <c r="G12" s="10" t="s">
        <v>361</v>
      </c>
      <c r="H12" s="10" t="s">
        <v>341</v>
      </c>
      <c r="I12" s="10" t="s">
        <v>362</v>
      </c>
      <c r="J12" s="9" t="s">
        <v>140</v>
      </c>
      <c r="K12" s="10" t="s">
        <v>344</v>
      </c>
      <c r="L12" s="10" t="s">
        <v>363</v>
      </c>
      <c r="M12" s="10" t="s">
        <v>364</v>
      </c>
    </row>
    <row r="13" spans="2:13" s="17" customFormat="1" ht="56" x14ac:dyDescent="0.35">
      <c r="B13" s="34">
        <f t="shared" si="0"/>
        <v>12</v>
      </c>
      <c r="C13" s="5" t="s">
        <v>108</v>
      </c>
      <c r="D13" s="33">
        <v>45555</v>
      </c>
      <c r="E13" s="10" t="s">
        <v>339</v>
      </c>
      <c r="F13" s="12" t="s">
        <v>124</v>
      </c>
      <c r="G13" s="10" t="s">
        <v>361</v>
      </c>
      <c r="H13" s="10" t="s">
        <v>341</v>
      </c>
      <c r="I13" s="10" t="s">
        <v>362</v>
      </c>
      <c r="J13" s="9" t="s">
        <v>140</v>
      </c>
      <c r="K13" s="10" t="s">
        <v>344</v>
      </c>
      <c r="L13" s="10" t="s">
        <v>346</v>
      </c>
      <c r="M13" s="10" t="s">
        <v>364</v>
      </c>
    </row>
    <row r="14" spans="2:13" s="17" customFormat="1" ht="56" x14ac:dyDescent="0.35">
      <c r="B14" s="34">
        <f t="shared" si="0"/>
        <v>13</v>
      </c>
      <c r="C14" s="5" t="s">
        <v>108</v>
      </c>
      <c r="D14" s="33">
        <v>45555</v>
      </c>
      <c r="E14" s="10" t="s">
        <v>339</v>
      </c>
      <c r="F14" s="12" t="s">
        <v>145</v>
      </c>
      <c r="G14" s="10" t="s">
        <v>361</v>
      </c>
      <c r="H14" s="10" t="s">
        <v>341</v>
      </c>
      <c r="I14" s="10" t="s">
        <v>362</v>
      </c>
      <c r="J14" s="9" t="s">
        <v>140</v>
      </c>
      <c r="K14" s="10" t="s">
        <v>344</v>
      </c>
      <c r="L14" s="10" t="s">
        <v>346</v>
      </c>
      <c r="M14" s="10" t="s">
        <v>364</v>
      </c>
    </row>
    <row r="15" spans="2:13" s="17" customFormat="1" ht="56" x14ac:dyDescent="0.35">
      <c r="B15" s="34">
        <f t="shared" si="0"/>
        <v>14</v>
      </c>
      <c r="C15" s="5" t="s">
        <v>108</v>
      </c>
      <c r="D15" s="33">
        <v>45555</v>
      </c>
      <c r="E15" s="10" t="s">
        <v>339</v>
      </c>
      <c r="F15" s="12" t="s">
        <v>176</v>
      </c>
      <c r="G15" s="10" t="s">
        <v>361</v>
      </c>
      <c r="H15" s="10" t="s">
        <v>341</v>
      </c>
      <c r="I15" s="10" t="s">
        <v>362</v>
      </c>
      <c r="J15" s="9" t="s">
        <v>140</v>
      </c>
      <c r="K15" s="10" t="s">
        <v>344</v>
      </c>
      <c r="L15" s="10" t="s">
        <v>349</v>
      </c>
      <c r="M15" s="10" t="s">
        <v>364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122"/>
  <sheetViews>
    <sheetView zoomScale="85" zoomScaleNormal="85" workbookViewId="0">
      <pane ySplit="1" topLeftCell="A14" activePane="bottomLeft" state="frozen"/>
      <selection activeCell="F1" sqref="F1"/>
      <selection pane="bottomLeft" activeCell="I14" sqref="I14"/>
    </sheetView>
  </sheetViews>
  <sheetFormatPr defaultColWidth="9.1796875" defaultRowHeight="14.5" x14ac:dyDescent="0.35"/>
  <cols>
    <col min="1" max="1" width="9.1796875" style="46"/>
    <col min="2" max="2" width="6.81640625" style="46" bestFit="1" customWidth="1"/>
    <col min="3" max="3" width="23.1796875" style="46" customWidth="1"/>
    <col min="4" max="4" width="11.453125" style="46" bestFit="1" customWidth="1"/>
    <col min="5" max="5" width="24.26953125" style="46" bestFit="1" customWidth="1"/>
    <col min="6" max="6" width="23.81640625" style="46" bestFit="1" customWidth="1"/>
    <col min="7" max="7" width="33.453125" style="46" bestFit="1" customWidth="1"/>
    <col min="8" max="8" width="13.54296875" style="46" customWidth="1"/>
    <col min="9" max="9" width="19.1796875" style="46" customWidth="1"/>
    <col min="10" max="10" width="11.81640625" style="46" customWidth="1"/>
    <col min="11" max="11" width="15.81640625" style="46" customWidth="1"/>
    <col min="12" max="12" width="49.453125" style="48" customWidth="1"/>
    <col min="13" max="13" width="47" style="46" customWidth="1"/>
    <col min="14" max="16384" width="9.1796875" style="46"/>
  </cols>
  <sheetData>
    <row r="1" spans="2:15" ht="46.5" x14ac:dyDescent="0.35">
      <c r="B1" s="49" t="s">
        <v>0</v>
      </c>
      <c r="C1" s="50" t="s">
        <v>1</v>
      </c>
      <c r="D1" s="49" t="s">
        <v>2</v>
      </c>
      <c r="E1" s="49" t="s">
        <v>115</v>
      </c>
      <c r="F1" s="49" t="s">
        <v>4</v>
      </c>
      <c r="G1" s="49" t="s">
        <v>5</v>
      </c>
      <c r="H1" s="49" t="s">
        <v>6</v>
      </c>
      <c r="I1" s="49" t="s">
        <v>7</v>
      </c>
      <c r="J1" s="51" t="s">
        <v>8</v>
      </c>
      <c r="K1" s="51" t="s">
        <v>10</v>
      </c>
      <c r="L1" s="51" t="s">
        <v>11</v>
      </c>
      <c r="M1" s="49" t="s">
        <v>12</v>
      </c>
    </row>
    <row r="2" spans="2:15" ht="46.5" x14ac:dyDescent="0.35">
      <c r="B2" s="52">
        <v>1</v>
      </c>
      <c r="C2" s="53" t="s">
        <v>117</v>
      </c>
      <c r="D2" s="54">
        <v>44138</v>
      </c>
      <c r="E2" s="55" t="s">
        <v>14</v>
      </c>
      <c r="F2" s="55" t="s">
        <v>118</v>
      </c>
      <c r="G2" s="52" t="s">
        <v>119</v>
      </c>
      <c r="H2" s="56" t="s">
        <v>120</v>
      </c>
      <c r="I2" s="52" t="s">
        <v>121</v>
      </c>
      <c r="J2" s="52" t="s">
        <v>19</v>
      </c>
      <c r="K2" s="57" t="s">
        <v>122</v>
      </c>
      <c r="L2" s="57" t="s">
        <v>122</v>
      </c>
      <c r="M2" s="58" t="s">
        <v>123</v>
      </c>
    </row>
    <row r="3" spans="2:15" ht="46.5" x14ac:dyDescent="0.35">
      <c r="B3" s="52">
        <f t="shared" ref="B3:B37" si="0">B2+1</f>
        <v>2</v>
      </c>
      <c r="C3" s="53" t="s">
        <v>117</v>
      </c>
      <c r="D3" s="54">
        <v>44144</v>
      </c>
      <c r="E3" s="55" t="s">
        <v>124</v>
      </c>
      <c r="F3" s="55" t="s">
        <v>47</v>
      </c>
      <c r="G3" s="59" t="s">
        <v>125</v>
      </c>
      <c r="H3" s="56" t="s">
        <v>120</v>
      </c>
      <c r="I3" s="52" t="s">
        <v>126</v>
      </c>
      <c r="J3" s="52" t="s">
        <v>19</v>
      </c>
      <c r="K3" s="57" t="s">
        <v>127</v>
      </c>
      <c r="L3" s="57" t="s">
        <v>127</v>
      </c>
      <c r="M3" s="60"/>
    </row>
    <row r="4" spans="2:15" ht="46.5" x14ac:dyDescent="0.35">
      <c r="B4" s="52">
        <f t="shared" si="0"/>
        <v>3</v>
      </c>
      <c r="C4" s="61" t="s">
        <v>128</v>
      </c>
      <c r="D4" s="62">
        <v>44166</v>
      </c>
      <c r="E4" s="63" t="s">
        <v>14</v>
      </c>
      <c r="F4" s="63" t="s">
        <v>118</v>
      </c>
      <c r="G4" s="64" t="s">
        <v>129</v>
      </c>
      <c r="H4" s="65" t="s">
        <v>130</v>
      </c>
      <c r="I4" s="64" t="s">
        <v>131</v>
      </c>
      <c r="J4" s="52" t="s">
        <v>19</v>
      </c>
      <c r="K4" s="57" t="s">
        <v>122</v>
      </c>
      <c r="L4" s="57" t="s">
        <v>122</v>
      </c>
      <c r="M4" s="58" t="s">
        <v>123</v>
      </c>
    </row>
    <row r="5" spans="2:15" ht="201.5" x14ac:dyDescent="0.35">
      <c r="B5" s="52">
        <f t="shared" si="0"/>
        <v>4</v>
      </c>
      <c r="C5" s="61" t="s">
        <v>117</v>
      </c>
      <c r="D5" s="62">
        <v>44166</v>
      </c>
      <c r="E5" s="63" t="s">
        <v>132</v>
      </c>
      <c r="F5" s="63" t="s">
        <v>118</v>
      </c>
      <c r="G5" s="61" t="s">
        <v>133</v>
      </c>
      <c r="H5" s="65" t="s">
        <v>130</v>
      </c>
      <c r="I5" s="64" t="s">
        <v>134</v>
      </c>
      <c r="J5" s="52" t="s">
        <v>19</v>
      </c>
      <c r="K5" s="57" t="s">
        <v>122</v>
      </c>
      <c r="L5" s="57" t="s">
        <v>122</v>
      </c>
      <c r="M5" s="66" t="s">
        <v>123</v>
      </c>
    </row>
    <row r="6" spans="2:15" ht="201.5" x14ac:dyDescent="0.35">
      <c r="B6" s="52">
        <f t="shared" si="0"/>
        <v>5</v>
      </c>
      <c r="C6" s="61" t="s">
        <v>117</v>
      </c>
      <c r="D6" s="62">
        <v>44166</v>
      </c>
      <c r="E6" s="63" t="s">
        <v>135</v>
      </c>
      <c r="F6" s="63" t="s">
        <v>118</v>
      </c>
      <c r="G6" s="61" t="s">
        <v>133</v>
      </c>
      <c r="H6" s="65" t="s">
        <v>130</v>
      </c>
      <c r="I6" s="64" t="s">
        <v>134</v>
      </c>
      <c r="J6" s="52" t="s">
        <v>19</v>
      </c>
      <c r="K6" s="57" t="s">
        <v>122</v>
      </c>
      <c r="L6" s="57" t="s">
        <v>122</v>
      </c>
      <c r="M6" s="66" t="s">
        <v>123</v>
      </c>
    </row>
    <row r="7" spans="2:15" ht="77.5" x14ac:dyDescent="0.35">
      <c r="B7" s="52">
        <f t="shared" si="0"/>
        <v>6</v>
      </c>
      <c r="C7" s="53" t="s">
        <v>117</v>
      </c>
      <c r="D7" s="54">
        <v>44175</v>
      </c>
      <c r="E7" s="55" t="s">
        <v>124</v>
      </c>
      <c r="F7" s="55" t="s">
        <v>48</v>
      </c>
      <c r="G7" s="59" t="s">
        <v>136</v>
      </c>
      <c r="H7" s="56" t="s">
        <v>120</v>
      </c>
      <c r="I7" s="52" t="s">
        <v>137</v>
      </c>
      <c r="J7" s="52" t="s">
        <v>19</v>
      </c>
      <c r="K7" s="57" t="s">
        <v>127</v>
      </c>
      <c r="L7" s="57" t="s">
        <v>127</v>
      </c>
      <c r="M7" s="60"/>
    </row>
    <row r="8" spans="2:15" ht="46.5" x14ac:dyDescent="0.35">
      <c r="B8" s="52">
        <f t="shared" si="0"/>
        <v>7</v>
      </c>
      <c r="C8" s="56" t="s">
        <v>108</v>
      </c>
      <c r="D8" s="54">
        <v>44175</v>
      </c>
      <c r="E8" s="55" t="s">
        <v>14</v>
      </c>
      <c r="F8" s="55" t="s">
        <v>48</v>
      </c>
      <c r="G8" s="52" t="s">
        <v>138</v>
      </c>
      <c r="H8" s="56" t="s">
        <v>120</v>
      </c>
      <c r="I8" s="52" t="s">
        <v>139</v>
      </c>
      <c r="J8" s="52" t="s">
        <v>140</v>
      </c>
      <c r="K8" s="57" t="s">
        <v>127</v>
      </c>
      <c r="L8" s="57" t="s">
        <v>127</v>
      </c>
      <c r="M8" s="60"/>
    </row>
    <row r="9" spans="2:15" ht="77.5" x14ac:dyDescent="0.35">
      <c r="B9" s="52">
        <f t="shared" si="0"/>
        <v>8</v>
      </c>
      <c r="C9" s="53" t="s">
        <v>117</v>
      </c>
      <c r="D9" s="54">
        <v>44226</v>
      </c>
      <c r="E9" s="53" t="s">
        <v>141</v>
      </c>
      <c r="F9" s="53" t="s">
        <v>142</v>
      </c>
      <c r="G9" s="59" t="s">
        <v>143</v>
      </c>
      <c r="H9" s="56" t="s">
        <v>130</v>
      </c>
      <c r="I9" s="52" t="s">
        <v>144</v>
      </c>
      <c r="J9" s="52" t="s">
        <v>19</v>
      </c>
      <c r="K9" s="57" t="s">
        <v>127</v>
      </c>
      <c r="L9" s="57" t="s">
        <v>127</v>
      </c>
      <c r="M9" s="60"/>
    </row>
    <row r="10" spans="2:15" ht="186" x14ac:dyDescent="0.35">
      <c r="B10" s="52">
        <f t="shared" si="0"/>
        <v>9</v>
      </c>
      <c r="C10" s="53" t="s">
        <v>117</v>
      </c>
      <c r="D10" s="54">
        <v>44228</v>
      </c>
      <c r="E10" s="55" t="s">
        <v>145</v>
      </c>
      <c r="F10" s="55" t="s">
        <v>146</v>
      </c>
      <c r="G10" s="59" t="s">
        <v>147</v>
      </c>
      <c r="H10" s="56" t="s">
        <v>130</v>
      </c>
      <c r="I10" s="59" t="s">
        <v>160</v>
      </c>
      <c r="J10" s="52" t="s">
        <v>19</v>
      </c>
      <c r="K10" s="67" t="s">
        <v>149</v>
      </c>
      <c r="L10" s="57" t="s">
        <v>150</v>
      </c>
      <c r="M10" s="57" t="s">
        <v>151</v>
      </c>
    </row>
    <row r="11" spans="2:15" ht="155" x14ac:dyDescent="0.35">
      <c r="B11" s="52">
        <f t="shared" si="0"/>
        <v>10</v>
      </c>
      <c r="C11" s="53" t="s">
        <v>117</v>
      </c>
      <c r="D11" s="54">
        <v>44228</v>
      </c>
      <c r="E11" s="55" t="s">
        <v>124</v>
      </c>
      <c r="F11" s="55" t="s">
        <v>146</v>
      </c>
      <c r="G11" s="59" t="s">
        <v>147</v>
      </c>
      <c r="H11" s="56" t="s">
        <v>130</v>
      </c>
      <c r="I11" s="59" t="s">
        <v>160</v>
      </c>
      <c r="J11" s="52" t="s">
        <v>19</v>
      </c>
      <c r="K11" s="67" t="s">
        <v>149</v>
      </c>
      <c r="L11" s="57" t="s">
        <v>150</v>
      </c>
      <c r="M11" s="57" t="s">
        <v>155</v>
      </c>
    </row>
    <row r="12" spans="2:15" ht="155" x14ac:dyDescent="0.35">
      <c r="B12" s="52">
        <f t="shared" si="0"/>
        <v>11</v>
      </c>
      <c r="C12" s="53" t="s">
        <v>117</v>
      </c>
      <c r="D12" s="54">
        <v>44229</v>
      </c>
      <c r="E12" s="55" t="s">
        <v>14</v>
      </c>
      <c r="F12" s="55" t="s">
        <v>146</v>
      </c>
      <c r="G12" s="52" t="s">
        <v>152</v>
      </c>
      <c r="H12" s="56" t="s">
        <v>130</v>
      </c>
      <c r="I12" s="59" t="s">
        <v>161</v>
      </c>
      <c r="J12" s="52" t="s">
        <v>19</v>
      </c>
      <c r="K12" s="67" t="s">
        <v>149</v>
      </c>
      <c r="L12" s="57" t="s">
        <v>154</v>
      </c>
      <c r="M12" s="57" t="s">
        <v>155</v>
      </c>
      <c r="N12" s="47"/>
    </row>
    <row r="13" spans="2:15" ht="186" x14ac:dyDescent="0.35">
      <c r="B13" s="52">
        <f t="shared" si="0"/>
        <v>12</v>
      </c>
      <c r="C13" s="53" t="s">
        <v>117</v>
      </c>
      <c r="D13" s="54">
        <v>44230</v>
      </c>
      <c r="E13" s="53" t="s">
        <v>156</v>
      </c>
      <c r="F13" s="53" t="s">
        <v>157</v>
      </c>
      <c r="G13" s="59" t="s">
        <v>158</v>
      </c>
      <c r="H13" s="56" t="s">
        <v>130</v>
      </c>
      <c r="I13" s="59" t="s">
        <v>159</v>
      </c>
      <c r="J13" s="52" t="s">
        <v>140</v>
      </c>
      <c r="K13" s="57" t="s">
        <v>127</v>
      </c>
      <c r="L13" s="68" t="s">
        <v>127</v>
      </c>
      <c r="M13" s="57" t="s">
        <v>151</v>
      </c>
      <c r="N13" s="47"/>
    </row>
    <row r="14" spans="2:15" ht="139.5" x14ac:dyDescent="0.35">
      <c r="B14" s="52">
        <f t="shared" si="0"/>
        <v>13</v>
      </c>
      <c r="C14" s="61" t="s">
        <v>178</v>
      </c>
      <c r="D14" s="69">
        <v>44355</v>
      </c>
      <c r="E14" s="61" t="s">
        <v>109</v>
      </c>
      <c r="F14" s="61" t="s">
        <v>218</v>
      </c>
      <c r="G14" s="66" t="s">
        <v>219</v>
      </c>
      <c r="H14" s="65" t="s">
        <v>172</v>
      </c>
      <c r="I14" s="66" t="s">
        <v>220</v>
      </c>
      <c r="J14" s="64" t="s">
        <v>140</v>
      </c>
      <c r="K14" s="66" t="s">
        <v>216</v>
      </c>
      <c r="L14" s="65" t="s">
        <v>221</v>
      </c>
      <c r="M14" s="60"/>
      <c r="N14" s="39"/>
      <c r="O14" s="40"/>
    </row>
    <row r="15" spans="2:15" ht="139.5" x14ac:dyDescent="0.35">
      <c r="B15" s="52">
        <f t="shared" si="0"/>
        <v>14</v>
      </c>
      <c r="C15" s="61" t="s">
        <v>128</v>
      </c>
      <c r="D15" s="69">
        <v>44497</v>
      </c>
      <c r="E15" s="63" t="s">
        <v>14</v>
      </c>
      <c r="F15" s="63" t="s">
        <v>234</v>
      </c>
      <c r="G15" s="66" t="s">
        <v>235</v>
      </c>
      <c r="H15" s="65" t="s">
        <v>236</v>
      </c>
      <c r="I15" s="64" t="s">
        <v>237</v>
      </c>
      <c r="J15" s="64" t="s">
        <v>140</v>
      </c>
      <c r="K15" s="66" t="s">
        <v>238</v>
      </c>
      <c r="L15" s="65" t="s">
        <v>239</v>
      </c>
      <c r="M15" s="60"/>
      <c r="N15" s="39"/>
    </row>
    <row r="16" spans="2:15" ht="108.5" x14ac:dyDescent="0.35">
      <c r="B16" s="52">
        <f t="shared" si="0"/>
        <v>15</v>
      </c>
      <c r="C16" s="61" t="s">
        <v>240</v>
      </c>
      <c r="D16" s="69">
        <v>44539</v>
      </c>
      <c r="E16" s="63" t="s">
        <v>14</v>
      </c>
      <c r="F16" s="63" t="s">
        <v>241</v>
      </c>
      <c r="G16" s="66" t="s">
        <v>242</v>
      </c>
      <c r="H16" s="65" t="s">
        <v>243</v>
      </c>
      <c r="I16" s="66" t="s">
        <v>244</v>
      </c>
      <c r="J16" s="64" t="s">
        <v>19</v>
      </c>
      <c r="K16" s="68" t="s">
        <v>122</v>
      </c>
      <c r="L16" s="68" t="s">
        <v>122</v>
      </c>
      <c r="M16" s="66" t="s">
        <v>245</v>
      </c>
      <c r="N16" s="39"/>
    </row>
    <row r="17" spans="2:15" ht="108.5" x14ac:dyDescent="0.35">
      <c r="B17" s="52">
        <f t="shared" si="0"/>
        <v>16</v>
      </c>
      <c r="C17" s="61" t="s">
        <v>117</v>
      </c>
      <c r="D17" s="69">
        <v>44554</v>
      </c>
      <c r="E17" s="63" t="s">
        <v>14</v>
      </c>
      <c r="F17" s="61" t="s">
        <v>64</v>
      </c>
      <c r="G17" s="66" t="s">
        <v>246</v>
      </c>
      <c r="H17" s="65" t="s">
        <v>247</v>
      </c>
      <c r="I17" s="66" t="s">
        <v>248</v>
      </c>
      <c r="J17" s="64" t="s">
        <v>140</v>
      </c>
      <c r="K17" s="64" t="s">
        <v>238</v>
      </c>
      <c r="L17" s="65" t="s">
        <v>249</v>
      </c>
      <c r="M17" s="70" t="s">
        <v>250</v>
      </c>
      <c r="N17" s="39"/>
    </row>
    <row r="18" spans="2:15" ht="139.5" x14ac:dyDescent="0.35">
      <c r="B18" s="52">
        <f t="shared" si="0"/>
        <v>17</v>
      </c>
      <c r="C18" s="53" t="s">
        <v>251</v>
      </c>
      <c r="D18" s="54">
        <v>44592</v>
      </c>
      <c r="E18" s="55" t="s">
        <v>145</v>
      </c>
      <c r="F18" s="55" t="s">
        <v>146</v>
      </c>
      <c r="G18" s="59" t="s">
        <v>147</v>
      </c>
      <c r="H18" s="56" t="s">
        <v>252</v>
      </c>
      <c r="I18" s="59" t="s">
        <v>148</v>
      </c>
      <c r="J18" s="52" t="s">
        <v>19</v>
      </c>
      <c r="K18" s="67" t="s">
        <v>149</v>
      </c>
      <c r="L18" s="57" t="s">
        <v>150</v>
      </c>
      <c r="M18" s="57" t="s">
        <v>253</v>
      </c>
      <c r="N18" s="47"/>
    </row>
    <row r="19" spans="2:15" ht="155" x14ac:dyDescent="0.35">
      <c r="B19" s="52">
        <f t="shared" si="0"/>
        <v>18</v>
      </c>
      <c r="C19" s="53" t="s">
        <v>251</v>
      </c>
      <c r="D19" s="54">
        <v>44592</v>
      </c>
      <c r="E19" s="55" t="s">
        <v>124</v>
      </c>
      <c r="F19" s="55" t="s">
        <v>146</v>
      </c>
      <c r="G19" s="59" t="s">
        <v>147</v>
      </c>
      <c r="H19" s="56" t="s">
        <v>252</v>
      </c>
      <c r="I19" s="59" t="s">
        <v>148</v>
      </c>
      <c r="J19" s="52" t="s">
        <v>19</v>
      </c>
      <c r="K19" s="67" t="s">
        <v>149</v>
      </c>
      <c r="L19" s="57" t="s">
        <v>150</v>
      </c>
      <c r="M19" s="57" t="s">
        <v>155</v>
      </c>
      <c r="N19" s="47"/>
    </row>
    <row r="20" spans="2:15" ht="155" x14ac:dyDescent="0.35">
      <c r="B20" s="52">
        <f t="shared" si="0"/>
        <v>19</v>
      </c>
      <c r="C20" s="53" t="s">
        <v>251</v>
      </c>
      <c r="D20" s="54">
        <v>44592</v>
      </c>
      <c r="E20" s="55" t="s">
        <v>14</v>
      </c>
      <c r="F20" s="55" t="s">
        <v>146</v>
      </c>
      <c r="G20" s="52" t="s">
        <v>152</v>
      </c>
      <c r="H20" s="56" t="s">
        <v>252</v>
      </c>
      <c r="I20" s="59" t="s">
        <v>153</v>
      </c>
      <c r="J20" s="52" t="s">
        <v>19</v>
      </c>
      <c r="K20" s="67" t="s">
        <v>149</v>
      </c>
      <c r="L20" s="57" t="s">
        <v>154</v>
      </c>
      <c r="M20" s="57" t="s">
        <v>155</v>
      </c>
      <c r="N20" s="47"/>
    </row>
    <row r="21" spans="2:15" ht="124" x14ac:dyDescent="0.35">
      <c r="B21" s="52">
        <f t="shared" si="0"/>
        <v>20</v>
      </c>
      <c r="C21" s="61" t="s">
        <v>254</v>
      </c>
      <c r="D21" s="62">
        <v>44613</v>
      </c>
      <c r="E21" s="63" t="s">
        <v>14</v>
      </c>
      <c r="F21" s="61" t="s">
        <v>64</v>
      </c>
      <c r="G21" s="66" t="s">
        <v>255</v>
      </c>
      <c r="H21" s="65" t="s">
        <v>256</v>
      </c>
      <c r="I21" s="66" t="s">
        <v>257</v>
      </c>
      <c r="J21" s="64" t="s">
        <v>19</v>
      </c>
      <c r="K21" s="64" t="s">
        <v>238</v>
      </c>
      <c r="L21" s="65" t="s">
        <v>249</v>
      </c>
      <c r="M21" s="71" t="s">
        <v>258</v>
      </c>
      <c r="N21" s="39"/>
    </row>
    <row r="22" spans="2:15" ht="93" x14ac:dyDescent="0.35">
      <c r="B22" s="52">
        <f t="shared" si="0"/>
        <v>21</v>
      </c>
      <c r="C22" s="61" t="s">
        <v>117</v>
      </c>
      <c r="D22" s="62">
        <v>44617</v>
      </c>
      <c r="E22" s="63" t="s">
        <v>14</v>
      </c>
      <c r="F22" s="61" t="s">
        <v>67</v>
      </c>
      <c r="G22" s="66" t="s">
        <v>259</v>
      </c>
      <c r="H22" s="65" t="s">
        <v>260</v>
      </c>
      <c r="I22" s="66" t="s">
        <v>261</v>
      </c>
      <c r="J22" s="64" t="s">
        <v>19</v>
      </c>
      <c r="K22" s="66" t="s">
        <v>167</v>
      </c>
      <c r="L22" s="56" t="s">
        <v>262</v>
      </c>
      <c r="M22" s="61" t="s">
        <v>263</v>
      </c>
      <c r="N22" s="39"/>
    </row>
    <row r="23" spans="2:15" ht="62" x14ac:dyDescent="0.35">
      <c r="B23" s="52">
        <f t="shared" si="0"/>
        <v>22</v>
      </c>
      <c r="C23" s="61" t="s">
        <v>117</v>
      </c>
      <c r="D23" s="62">
        <v>44979</v>
      </c>
      <c r="E23" s="72" t="s">
        <v>14</v>
      </c>
      <c r="F23" s="72" t="s">
        <v>82</v>
      </c>
      <c r="G23" s="66" t="s">
        <v>312</v>
      </c>
      <c r="H23" s="65" t="s">
        <v>313</v>
      </c>
      <c r="I23" s="64" t="s">
        <v>314</v>
      </c>
      <c r="J23" s="64" t="s">
        <v>19</v>
      </c>
      <c r="K23" s="66" t="s">
        <v>315</v>
      </c>
      <c r="L23" s="65" t="s">
        <v>316</v>
      </c>
      <c r="M23" s="60"/>
      <c r="N23" s="39"/>
      <c r="O23" s="40"/>
    </row>
    <row r="24" spans="2:15" ht="124" x14ac:dyDescent="0.35">
      <c r="B24" s="52">
        <f t="shared" si="0"/>
        <v>23</v>
      </c>
      <c r="C24" s="61" t="s">
        <v>117</v>
      </c>
      <c r="D24" s="62">
        <v>45467</v>
      </c>
      <c r="E24" s="72" t="s">
        <v>14</v>
      </c>
      <c r="F24" s="72" t="s">
        <v>82</v>
      </c>
      <c r="G24" s="66" t="s">
        <v>455</v>
      </c>
      <c r="H24" s="65" t="s">
        <v>451</v>
      </c>
      <c r="I24" s="66" t="s">
        <v>452</v>
      </c>
      <c r="J24" s="64" t="s">
        <v>140</v>
      </c>
      <c r="K24" s="64"/>
      <c r="L24" s="65" t="s">
        <v>453</v>
      </c>
      <c r="M24" s="65" t="s">
        <v>454</v>
      </c>
      <c r="N24" s="39"/>
      <c r="O24" s="40"/>
    </row>
    <row r="25" spans="2:15" ht="46.5" x14ac:dyDescent="0.35">
      <c r="B25" s="52">
        <f t="shared" si="0"/>
        <v>24</v>
      </c>
      <c r="C25" s="61" t="s">
        <v>379</v>
      </c>
      <c r="D25" s="62">
        <v>45056</v>
      </c>
      <c r="E25" s="72" t="s">
        <v>14</v>
      </c>
      <c r="F25" s="73" t="s">
        <v>380</v>
      </c>
      <c r="G25" s="66" t="s">
        <v>381</v>
      </c>
      <c r="H25" s="65" t="s">
        <v>382</v>
      </c>
      <c r="I25" s="64" t="s">
        <v>383</v>
      </c>
      <c r="J25" s="64" t="s">
        <v>19</v>
      </c>
      <c r="K25" s="64" t="s">
        <v>335</v>
      </c>
      <c r="L25" s="64" t="s">
        <v>384</v>
      </c>
      <c r="M25" s="74"/>
      <c r="N25" s="39"/>
      <c r="O25" s="40"/>
    </row>
    <row r="26" spans="2:15" ht="93" x14ac:dyDescent="0.35">
      <c r="B26" s="52">
        <f t="shared" si="0"/>
        <v>25</v>
      </c>
      <c r="C26" s="61" t="s">
        <v>385</v>
      </c>
      <c r="D26" s="62">
        <v>45093</v>
      </c>
      <c r="E26" s="72" t="s">
        <v>14</v>
      </c>
      <c r="F26" s="73" t="s">
        <v>386</v>
      </c>
      <c r="G26" s="66" t="s">
        <v>387</v>
      </c>
      <c r="H26" s="65" t="s">
        <v>388</v>
      </c>
      <c r="I26" s="66" t="s">
        <v>389</v>
      </c>
      <c r="J26" s="64" t="s">
        <v>140</v>
      </c>
      <c r="K26" s="66" t="s">
        <v>391</v>
      </c>
      <c r="L26" s="64" t="s">
        <v>392</v>
      </c>
      <c r="M26" s="66" t="s">
        <v>390</v>
      </c>
      <c r="N26" s="39"/>
      <c r="O26" s="40"/>
    </row>
    <row r="27" spans="2:15" ht="108.5" x14ac:dyDescent="0.35">
      <c r="B27" s="52">
        <f t="shared" si="0"/>
        <v>26</v>
      </c>
      <c r="C27" s="65" t="s">
        <v>365</v>
      </c>
      <c r="D27" s="54">
        <v>45573</v>
      </c>
      <c r="E27" s="65" t="s">
        <v>14</v>
      </c>
      <c r="F27" s="65" t="s">
        <v>366</v>
      </c>
      <c r="G27" s="65" t="s">
        <v>367</v>
      </c>
      <c r="H27" s="73"/>
      <c r="I27" s="64"/>
      <c r="J27" s="64" t="s">
        <v>19</v>
      </c>
      <c r="K27" s="66" t="s">
        <v>372</v>
      </c>
      <c r="L27" s="65" t="s">
        <v>368</v>
      </c>
      <c r="M27" s="60"/>
      <c r="N27" s="39"/>
      <c r="O27" s="40"/>
    </row>
    <row r="28" spans="2:15" ht="93" x14ac:dyDescent="0.35">
      <c r="B28" s="52">
        <f t="shared" si="0"/>
        <v>27</v>
      </c>
      <c r="C28" s="65" t="s">
        <v>369</v>
      </c>
      <c r="D28" s="54">
        <v>45628</v>
      </c>
      <c r="E28" s="65" t="s">
        <v>14</v>
      </c>
      <c r="F28" s="65" t="s">
        <v>370</v>
      </c>
      <c r="G28" s="65" t="s">
        <v>371</v>
      </c>
      <c r="H28" s="73"/>
      <c r="I28" s="64"/>
      <c r="J28" s="64" t="s">
        <v>19</v>
      </c>
      <c r="K28" s="66" t="s">
        <v>372</v>
      </c>
      <c r="L28" s="65"/>
      <c r="M28" s="60"/>
      <c r="N28" s="39"/>
      <c r="O28" s="40"/>
    </row>
    <row r="29" spans="2:15" s="75" customFormat="1" ht="155" x14ac:dyDescent="0.35">
      <c r="B29" s="52">
        <f t="shared" si="0"/>
        <v>28</v>
      </c>
      <c r="C29" s="87" t="s">
        <v>182</v>
      </c>
      <c r="D29" s="62">
        <v>44256</v>
      </c>
      <c r="E29" s="63" t="s">
        <v>176</v>
      </c>
      <c r="F29" s="63" t="s">
        <v>183</v>
      </c>
      <c r="G29" s="66" t="s">
        <v>184</v>
      </c>
      <c r="H29" s="65" t="s">
        <v>185</v>
      </c>
      <c r="I29" s="64" t="s">
        <v>186</v>
      </c>
      <c r="J29" s="64" t="s">
        <v>186</v>
      </c>
      <c r="K29" s="77" t="s">
        <v>187</v>
      </c>
      <c r="L29" s="78" t="s">
        <v>188</v>
      </c>
      <c r="M29" s="74"/>
    </row>
    <row r="30" spans="2:15" s="75" customFormat="1" ht="77.5" x14ac:dyDescent="0.35">
      <c r="B30" s="52">
        <f t="shared" si="0"/>
        <v>29</v>
      </c>
      <c r="C30" s="87" t="s">
        <v>189</v>
      </c>
      <c r="D30" s="54">
        <v>44256</v>
      </c>
      <c r="E30" s="63" t="s">
        <v>176</v>
      </c>
      <c r="F30" s="63" t="s">
        <v>183</v>
      </c>
      <c r="G30" s="66" t="s">
        <v>190</v>
      </c>
      <c r="H30" s="65" t="s">
        <v>191</v>
      </c>
      <c r="I30" s="66" t="s">
        <v>192</v>
      </c>
      <c r="J30" s="64" t="s">
        <v>140</v>
      </c>
      <c r="K30" s="77" t="s">
        <v>187</v>
      </c>
      <c r="L30" s="78" t="s">
        <v>188</v>
      </c>
      <c r="M30" s="74"/>
    </row>
    <row r="31" spans="2:15" s="75" customFormat="1" ht="46.5" x14ac:dyDescent="0.35">
      <c r="B31" s="52">
        <f t="shared" si="0"/>
        <v>30</v>
      </c>
      <c r="C31" s="87" t="s">
        <v>222</v>
      </c>
      <c r="D31" s="54">
        <v>44417</v>
      </c>
      <c r="E31" s="63" t="s">
        <v>176</v>
      </c>
      <c r="F31" s="63" t="s">
        <v>183</v>
      </c>
      <c r="G31" s="66" t="s">
        <v>223</v>
      </c>
      <c r="H31" s="65" t="s">
        <v>224</v>
      </c>
      <c r="I31" s="64" t="s">
        <v>225</v>
      </c>
      <c r="J31" s="64" t="s">
        <v>140</v>
      </c>
      <c r="K31" s="77" t="s">
        <v>187</v>
      </c>
      <c r="L31" s="78" t="s">
        <v>188</v>
      </c>
      <c r="M31" s="74"/>
    </row>
    <row r="32" spans="2:15" s="75" customFormat="1" ht="139.5" x14ac:dyDescent="0.35">
      <c r="B32" s="52">
        <f t="shared" si="0"/>
        <v>31</v>
      </c>
      <c r="C32" s="87" t="s">
        <v>212</v>
      </c>
      <c r="D32" s="62">
        <v>44330</v>
      </c>
      <c r="E32" s="61" t="s">
        <v>109</v>
      </c>
      <c r="F32" s="63" t="s">
        <v>213</v>
      </c>
      <c r="G32" s="66" t="s">
        <v>214</v>
      </c>
      <c r="H32" s="65" t="s">
        <v>26</v>
      </c>
      <c r="I32" s="64" t="s">
        <v>215</v>
      </c>
      <c r="J32" s="64" t="s">
        <v>140</v>
      </c>
      <c r="K32" s="66" t="s">
        <v>216</v>
      </c>
      <c r="L32" s="56" t="s">
        <v>217</v>
      </c>
      <c r="M32" s="74"/>
    </row>
    <row r="33" spans="2:13" s="75" customFormat="1" ht="139.5" x14ac:dyDescent="0.35">
      <c r="B33" s="52">
        <f t="shared" si="0"/>
        <v>32</v>
      </c>
      <c r="C33" s="87" t="s">
        <v>117</v>
      </c>
      <c r="D33" s="62">
        <v>44645</v>
      </c>
      <c r="E33" s="63" t="s">
        <v>227</v>
      </c>
      <c r="F33" s="61" t="s">
        <v>272</v>
      </c>
      <c r="G33" s="66" t="s">
        <v>273</v>
      </c>
      <c r="H33" s="65" t="s">
        <v>274</v>
      </c>
      <c r="I33" s="66" t="s">
        <v>275</v>
      </c>
      <c r="J33" s="64" t="s">
        <v>140</v>
      </c>
      <c r="K33" s="66" t="s">
        <v>187</v>
      </c>
      <c r="L33" s="65" t="s">
        <v>210</v>
      </c>
      <c r="M33" s="61" t="s">
        <v>276</v>
      </c>
    </row>
    <row r="34" spans="2:13" s="75" customFormat="1" ht="124" x14ac:dyDescent="0.35">
      <c r="B34" s="52">
        <f t="shared" si="0"/>
        <v>33</v>
      </c>
      <c r="C34" s="87" t="s">
        <v>117</v>
      </c>
      <c r="D34" s="62">
        <v>44806</v>
      </c>
      <c r="E34" s="63" t="s">
        <v>14</v>
      </c>
      <c r="F34" s="66" t="s">
        <v>286</v>
      </c>
      <c r="G34" s="66" t="s">
        <v>287</v>
      </c>
      <c r="H34" s="65" t="s">
        <v>288</v>
      </c>
      <c r="I34" s="66" t="s">
        <v>289</v>
      </c>
      <c r="J34" s="64" t="s">
        <v>19</v>
      </c>
      <c r="K34" s="66" t="s">
        <v>290</v>
      </c>
      <c r="L34" s="65" t="s">
        <v>291</v>
      </c>
      <c r="M34" s="74"/>
    </row>
    <row r="35" spans="2:13" s="75" customFormat="1" ht="124" x14ac:dyDescent="0.35">
      <c r="B35" s="52">
        <f t="shared" si="0"/>
        <v>34</v>
      </c>
      <c r="C35" s="87" t="s">
        <v>117</v>
      </c>
      <c r="D35" s="62">
        <v>44838</v>
      </c>
      <c r="E35" s="63" t="s">
        <v>14</v>
      </c>
      <c r="F35" s="73" t="s">
        <v>302</v>
      </c>
      <c r="G35" s="66" t="s">
        <v>287</v>
      </c>
      <c r="H35" s="65" t="s">
        <v>288</v>
      </c>
      <c r="I35" s="66" t="s">
        <v>303</v>
      </c>
      <c r="J35" s="64" t="s">
        <v>19</v>
      </c>
      <c r="K35" s="66" t="s">
        <v>290</v>
      </c>
      <c r="L35" s="65" t="s">
        <v>304</v>
      </c>
      <c r="M35" s="74"/>
    </row>
    <row r="36" spans="2:13" s="75" customFormat="1" ht="77.5" x14ac:dyDescent="0.35">
      <c r="B36" s="52">
        <f t="shared" si="0"/>
        <v>35</v>
      </c>
      <c r="C36" s="87" t="s">
        <v>199</v>
      </c>
      <c r="D36" s="69">
        <v>44310</v>
      </c>
      <c r="E36" s="63" t="s">
        <v>14</v>
      </c>
      <c r="F36" s="63" t="s">
        <v>62</v>
      </c>
      <c r="G36" s="66" t="s">
        <v>200</v>
      </c>
      <c r="H36" s="65" t="s">
        <v>201</v>
      </c>
      <c r="I36" s="64" t="s">
        <v>202</v>
      </c>
      <c r="J36" s="64" t="s">
        <v>19</v>
      </c>
      <c r="K36" s="66" t="s">
        <v>203</v>
      </c>
      <c r="L36" s="65" t="s">
        <v>204</v>
      </c>
      <c r="M36" s="74"/>
    </row>
    <row r="37" spans="2:13" ht="93" x14ac:dyDescent="0.35">
      <c r="B37" s="52">
        <f t="shared" si="0"/>
        <v>36</v>
      </c>
      <c r="C37" s="87" t="s">
        <v>264</v>
      </c>
      <c r="D37" s="62">
        <v>44628</v>
      </c>
      <c r="E37" s="63" t="s">
        <v>14</v>
      </c>
      <c r="F37" s="63" t="s">
        <v>265</v>
      </c>
      <c r="G37" s="66" t="s">
        <v>266</v>
      </c>
      <c r="H37" s="65" t="s">
        <v>267</v>
      </c>
      <c r="I37" s="66" t="s">
        <v>20</v>
      </c>
      <c r="J37" s="64" t="s">
        <v>19</v>
      </c>
      <c r="K37" s="66"/>
      <c r="L37" s="61" t="s">
        <v>269</v>
      </c>
      <c r="M37" s="61" t="s">
        <v>268</v>
      </c>
    </row>
    <row r="38" spans="2:13" x14ac:dyDescent="0.35">
      <c r="K38" s="48"/>
    </row>
    <row r="39" spans="2:13" x14ac:dyDescent="0.35">
      <c r="K39" s="48"/>
    </row>
    <row r="40" spans="2:13" x14ac:dyDescent="0.35">
      <c r="K40" s="48"/>
    </row>
    <row r="41" spans="2:13" x14ac:dyDescent="0.35">
      <c r="K41" s="48"/>
    </row>
    <row r="42" spans="2:13" x14ac:dyDescent="0.35">
      <c r="K42" s="48"/>
    </row>
    <row r="43" spans="2:13" x14ac:dyDescent="0.35">
      <c r="K43" s="48"/>
    </row>
    <row r="44" spans="2:13" x14ac:dyDescent="0.35">
      <c r="K44" s="48"/>
    </row>
    <row r="45" spans="2:13" x14ac:dyDescent="0.35">
      <c r="K45" s="48"/>
    </row>
    <row r="46" spans="2:13" x14ac:dyDescent="0.35">
      <c r="K46" s="48"/>
    </row>
    <row r="47" spans="2:13" x14ac:dyDescent="0.35">
      <c r="K47" s="48"/>
    </row>
    <row r="48" spans="2:13" x14ac:dyDescent="0.35">
      <c r="K48" s="48"/>
    </row>
    <row r="49" spans="11:11" x14ac:dyDescent="0.35">
      <c r="K49" s="48"/>
    </row>
    <row r="50" spans="11:11" x14ac:dyDescent="0.35">
      <c r="K50" s="48"/>
    </row>
    <row r="51" spans="11:11" x14ac:dyDescent="0.35">
      <c r="K51" s="48"/>
    </row>
    <row r="52" spans="11:11" x14ac:dyDescent="0.35">
      <c r="K52" s="48"/>
    </row>
    <row r="53" spans="11:11" x14ac:dyDescent="0.35">
      <c r="K53" s="48"/>
    </row>
    <row r="54" spans="11:11" x14ac:dyDescent="0.35">
      <c r="K54" s="48"/>
    </row>
    <row r="55" spans="11:11" x14ac:dyDescent="0.35">
      <c r="K55" s="48"/>
    </row>
    <row r="56" spans="11:11" x14ac:dyDescent="0.35">
      <c r="K56" s="48"/>
    </row>
    <row r="57" spans="11:11" x14ac:dyDescent="0.35">
      <c r="K57" s="48"/>
    </row>
    <row r="58" spans="11:11" x14ac:dyDescent="0.35">
      <c r="K58" s="48"/>
    </row>
    <row r="59" spans="11:11" x14ac:dyDescent="0.35">
      <c r="K59" s="48"/>
    </row>
    <row r="60" spans="11:11" x14ac:dyDescent="0.35">
      <c r="K60" s="48"/>
    </row>
    <row r="61" spans="11:11" x14ac:dyDescent="0.35">
      <c r="K61" s="48"/>
    </row>
    <row r="62" spans="11:11" x14ac:dyDescent="0.35">
      <c r="K62" s="48"/>
    </row>
    <row r="63" spans="11:11" x14ac:dyDescent="0.35">
      <c r="K63" s="48"/>
    </row>
    <row r="64" spans="11:11" x14ac:dyDescent="0.35">
      <c r="K64" s="48"/>
    </row>
    <row r="65" spans="11:11" x14ac:dyDescent="0.35">
      <c r="K65" s="48"/>
    </row>
    <row r="66" spans="11:11" x14ac:dyDescent="0.35">
      <c r="K66" s="48"/>
    </row>
    <row r="67" spans="11:11" x14ac:dyDescent="0.35">
      <c r="K67" s="48"/>
    </row>
    <row r="68" spans="11:11" x14ac:dyDescent="0.35">
      <c r="K68" s="48"/>
    </row>
    <row r="69" spans="11:11" x14ac:dyDescent="0.35">
      <c r="K69" s="48"/>
    </row>
    <row r="70" spans="11:11" x14ac:dyDescent="0.35">
      <c r="K70" s="48"/>
    </row>
    <row r="71" spans="11:11" x14ac:dyDescent="0.35">
      <c r="K71" s="48"/>
    </row>
    <row r="72" spans="11:11" x14ac:dyDescent="0.35">
      <c r="K72" s="48"/>
    </row>
    <row r="73" spans="11:11" x14ac:dyDescent="0.35">
      <c r="K73" s="48"/>
    </row>
    <row r="74" spans="11:11" x14ac:dyDescent="0.35">
      <c r="K74" s="48"/>
    </row>
    <row r="75" spans="11:11" x14ac:dyDescent="0.35">
      <c r="K75" s="48"/>
    </row>
    <row r="76" spans="11:11" x14ac:dyDescent="0.35">
      <c r="K76" s="48"/>
    </row>
    <row r="77" spans="11:11" x14ac:dyDescent="0.35">
      <c r="K77" s="48"/>
    </row>
    <row r="78" spans="11:11" x14ac:dyDescent="0.35">
      <c r="K78" s="48"/>
    </row>
    <row r="79" spans="11:11" x14ac:dyDescent="0.35">
      <c r="K79" s="48"/>
    </row>
    <row r="80" spans="11:11" x14ac:dyDescent="0.35">
      <c r="K80" s="48"/>
    </row>
    <row r="81" spans="11:11" x14ac:dyDescent="0.35">
      <c r="K81" s="48"/>
    </row>
    <row r="82" spans="11:11" x14ac:dyDescent="0.35">
      <c r="K82" s="48"/>
    </row>
    <row r="83" spans="11:11" x14ac:dyDescent="0.35">
      <c r="K83" s="48"/>
    </row>
    <row r="84" spans="11:11" x14ac:dyDescent="0.35">
      <c r="K84" s="48"/>
    </row>
    <row r="85" spans="11:11" x14ac:dyDescent="0.35">
      <c r="K85" s="48"/>
    </row>
    <row r="86" spans="11:11" x14ac:dyDescent="0.35">
      <c r="K86" s="48"/>
    </row>
    <row r="87" spans="11:11" x14ac:dyDescent="0.35">
      <c r="K87" s="48"/>
    </row>
    <row r="88" spans="11:11" x14ac:dyDescent="0.35">
      <c r="K88" s="48"/>
    </row>
    <row r="89" spans="11:11" x14ac:dyDescent="0.35">
      <c r="K89" s="48"/>
    </row>
    <row r="90" spans="11:11" x14ac:dyDescent="0.35">
      <c r="K90" s="48"/>
    </row>
    <row r="91" spans="11:11" x14ac:dyDescent="0.35">
      <c r="K91" s="48"/>
    </row>
    <row r="92" spans="11:11" x14ac:dyDescent="0.35">
      <c r="K92" s="48"/>
    </row>
    <row r="93" spans="11:11" x14ac:dyDescent="0.35">
      <c r="K93" s="48"/>
    </row>
    <row r="94" spans="11:11" x14ac:dyDescent="0.35">
      <c r="K94" s="48"/>
    </row>
    <row r="95" spans="11:11" x14ac:dyDescent="0.35">
      <c r="K95" s="48"/>
    </row>
    <row r="96" spans="11:11" x14ac:dyDescent="0.35">
      <c r="K96" s="48"/>
    </row>
    <row r="97" spans="11:11" x14ac:dyDescent="0.35">
      <c r="K97" s="48"/>
    </row>
    <row r="98" spans="11:11" x14ac:dyDescent="0.35">
      <c r="K98" s="48"/>
    </row>
    <row r="99" spans="11:11" x14ac:dyDescent="0.35">
      <c r="K99" s="48"/>
    </row>
    <row r="100" spans="11:11" x14ac:dyDescent="0.35">
      <c r="K100" s="48"/>
    </row>
    <row r="101" spans="11:11" x14ac:dyDescent="0.35">
      <c r="K101" s="48"/>
    </row>
    <row r="102" spans="11:11" x14ac:dyDescent="0.35">
      <c r="K102" s="48"/>
    </row>
    <row r="103" spans="11:11" x14ac:dyDescent="0.35">
      <c r="K103" s="48"/>
    </row>
    <row r="104" spans="11:11" x14ac:dyDescent="0.35">
      <c r="K104" s="48"/>
    </row>
    <row r="105" spans="11:11" x14ac:dyDescent="0.35">
      <c r="K105" s="48"/>
    </row>
    <row r="106" spans="11:11" x14ac:dyDescent="0.35">
      <c r="K106" s="48"/>
    </row>
    <row r="107" spans="11:11" x14ac:dyDescent="0.35">
      <c r="K107" s="48"/>
    </row>
    <row r="108" spans="11:11" x14ac:dyDescent="0.35">
      <c r="K108" s="48"/>
    </row>
    <row r="109" spans="11:11" x14ac:dyDescent="0.35">
      <c r="K109" s="48"/>
    </row>
    <row r="110" spans="11:11" x14ac:dyDescent="0.35">
      <c r="K110" s="48"/>
    </row>
    <row r="111" spans="11:11" x14ac:dyDescent="0.35">
      <c r="K111" s="48"/>
    </row>
    <row r="112" spans="11:11" x14ac:dyDescent="0.35">
      <c r="K112" s="48"/>
    </row>
    <row r="113" spans="11:11" x14ac:dyDescent="0.35">
      <c r="K113" s="48"/>
    </row>
    <row r="114" spans="11:11" x14ac:dyDescent="0.35">
      <c r="K114" s="48"/>
    </row>
    <row r="115" spans="11:11" x14ac:dyDescent="0.35">
      <c r="K115" s="48"/>
    </row>
    <row r="116" spans="11:11" x14ac:dyDescent="0.35">
      <c r="K116" s="48"/>
    </row>
    <row r="117" spans="11:11" x14ac:dyDescent="0.35">
      <c r="K117" s="48"/>
    </row>
    <row r="118" spans="11:11" x14ac:dyDescent="0.35">
      <c r="K118" s="48"/>
    </row>
    <row r="119" spans="11:11" x14ac:dyDescent="0.35">
      <c r="K119" s="48"/>
    </row>
    <row r="120" spans="11:11" x14ac:dyDescent="0.35">
      <c r="K120" s="48"/>
    </row>
    <row r="121" spans="11:11" x14ac:dyDescent="0.35">
      <c r="K121" s="48"/>
    </row>
    <row r="122" spans="11:11" x14ac:dyDescent="0.35">
      <c r="K122" s="48"/>
    </row>
  </sheetData>
  <conditionalFormatting sqref="F29:F31">
    <cfRule type="duplicateValues" dxfId="6" priority="7"/>
  </conditionalFormatting>
  <conditionalFormatting sqref="F32">
    <cfRule type="duplicateValues" dxfId="5" priority="6"/>
  </conditionalFormatting>
  <conditionalFormatting sqref="F33">
    <cfRule type="duplicateValues" dxfId="4" priority="5"/>
  </conditionalFormatting>
  <conditionalFormatting sqref="F34">
    <cfRule type="duplicateValues" dxfId="3" priority="4"/>
  </conditionalFormatting>
  <conditionalFormatting sqref="F35">
    <cfRule type="duplicateValues" dxfId="2" priority="3"/>
  </conditionalFormatting>
  <conditionalFormatting sqref="F36">
    <cfRule type="duplicateValues" dxfId="1" priority="2"/>
  </conditionalFormatting>
  <conditionalFormatting sqref="F37">
    <cfRule type="duplicateValues" dxfId="0" priority="1"/>
  </conditionalFormatting>
  <pageMargins left="0.25" right="0.25" top="0.75" bottom="0.75" header="0.3" footer="0.3"/>
  <pageSetup scale="46"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13"/>
  <sheetViews>
    <sheetView zoomScale="85" zoomScaleNormal="85" workbookViewId="0">
      <selection activeCell="B1" sqref="B1"/>
    </sheetView>
  </sheetViews>
  <sheetFormatPr defaultRowHeight="14.5" x14ac:dyDescent="0.35"/>
  <cols>
    <col min="2" max="2" width="6.7265625" bestFit="1" customWidth="1"/>
    <col min="3" max="3" width="20.453125" customWidth="1"/>
    <col min="4" max="4" width="10.26953125" bestFit="1" customWidth="1"/>
    <col min="5" max="5" width="14.7265625" customWidth="1"/>
    <col min="6" max="6" width="26.54296875" bestFit="1" customWidth="1"/>
    <col min="7" max="7" width="51.26953125" customWidth="1"/>
    <col min="8" max="8" width="20.81640625" customWidth="1"/>
    <col min="9" max="9" width="27.26953125" customWidth="1"/>
    <col min="11" max="12" width="29.54296875" bestFit="1" customWidth="1"/>
    <col min="13" max="13" width="52.1796875" customWidth="1"/>
  </cols>
  <sheetData>
    <row r="1" spans="2:15" s="17" customFormat="1" ht="28" x14ac:dyDescent="0.35">
      <c r="B1" s="2" t="s">
        <v>0</v>
      </c>
      <c r="C1" s="1" t="s">
        <v>1</v>
      </c>
      <c r="D1" s="2" t="s">
        <v>2</v>
      </c>
      <c r="E1" s="2" t="s">
        <v>115</v>
      </c>
      <c r="F1" s="2" t="s">
        <v>4</v>
      </c>
      <c r="G1" s="2" t="s">
        <v>5</v>
      </c>
      <c r="H1" s="2" t="s">
        <v>6</v>
      </c>
      <c r="I1" s="2" t="s">
        <v>7</v>
      </c>
      <c r="J1" s="3" t="s">
        <v>8</v>
      </c>
      <c r="K1" s="3" t="s">
        <v>10</v>
      </c>
      <c r="L1" s="3" t="s">
        <v>11</v>
      </c>
      <c r="M1" s="2" t="s">
        <v>12</v>
      </c>
    </row>
    <row r="2" spans="2:15" ht="126" x14ac:dyDescent="0.35">
      <c r="B2" s="9">
        <v>1</v>
      </c>
      <c r="C2" s="5" t="s">
        <v>108</v>
      </c>
      <c r="D2" s="33">
        <v>43556</v>
      </c>
      <c r="E2" s="16" t="s">
        <v>14</v>
      </c>
      <c r="F2" s="5" t="s">
        <v>109</v>
      </c>
      <c r="G2" s="8" t="s">
        <v>110</v>
      </c>
      <c r="H2" s="10" t="s">
        <v>111</v>
      </c>
      <c r="I2" s="8" t="s">
        <v>112</v>
      </c>
      <c r="J2" s="4" t="s">
        <v>19</v>
      </c>
      <c r="K2" s="19" t="s">
        <v>113</v>
      </c>
      <c r="L2" s="9" t="s">
        <v>114</v>
      </c>
      <c r="M2" s="5" t="s">
        <v>116</v>
      </c>
    </row>
    <row r="3" spans="2:15" ht="84" x14ac:dyDescent="0.35">
      <c r="B3" s="9">
        <f>B2+1</f>
        <v>2</v>
      </c>
      <c r="C3" s="5" t="s">
        <v>170</v>
      </c>
      <c r="D3" s="6">
        <v>44252</v>
      </c>
      <c r="E3" s="16" t="s">
        <v>145</v>
      </c>
      <c r="F3" s="16" t="s">
        <v>14</v>
      </c>
      <c r="G3" s="19" t="s">
        <v>171</v>
      </c>
      <c r="H3" s="10" t="s">
        <v>172</v>
      </c>
      <c r="I3" s="8" t="s">
        <v>173</v>
      </c>
      <c r="J3" s="9" t="s">
        <v>19</v>
      </c>
      <c r="K3" s="36" t="s">
        <v>174</v>
      </c>
      <c r="L3" s="36" t="s">
        <v>114</v>
      </c>
      <c r="M3" s="5" t="s">
        <v>175</v>
      </c>
      <c r="N3" s="35"/>
    </row>
    <row r="4" spans="2:15" ht="84" x14ac:dyDescent="0.35">
      <c r="B4" s="9">
        <f t="shared" ref="B4:B13" si="0">B3+1</f>
        <v>3</v>
      </c>
      <c r="C4" s="5" t="s">
        <v>170</v>
      </c>
      <c r="D4" s="6">
        <v>44252</v>
      </c>
      <c r="E4" s="16" t="s">
        <v>124</v>
      </c>
      <c r="F4" s="16" t="s">
        <v>14</v>
      </c>
      <c r="G4" s="19" t="s">
        <v>171</v>
      </c>
      <c r="H4" s="10" t="s">
        <v>172</v>
      </c>
      <c r="I4" s="8" t="s">
        <v>173</v>
      </c>
      <c r="J4" s="9" t="s">
        <v>19</v>
      </c>
      <c r="K4" s="36" t="s">
        <v>174</v>
      </c>
      <c r="L4" s="36" t="s">
        <v>114</v>
      </c>
      <c r="M4" s="5" t="s">
        <v>175</v>
      </c>
      <c r="N4" s="35"/>
    </row>
    <row r="5" spans="2:15" ht="84" x14ac:dyDescent="0.35">
      <c r="B5" s="9">
        <f t="shared" si="0"/>
        <v>4</v>
      </c>
      <c r="C5" s="5" t="s">
        <v>170</v>
      </c>
      <c r="D5" s="6">
        <v>44252</v>
      </c>
      <c r="E5" s="16" t="s">
        <v>176</v>
      </c>
      <c r="F5" s="16" t="s">
        <v>14</v>
      </c>
      <c r="G5" s="19" t="s">
        <v>171</v>
      </c>
      <c r="H5" s="10" t="s">
        <v>172</v>
      </c>
      <c r="I5" s="8" t="s">
        <v>173</v>
      </c>
      <c r="J5" s="9" t="s">
        <v>19</v>
      </c>
      <c r="K5" s="8" t="s">
        <v>177</v>
      </c>
      <c r="L5" s="36" t="s">
        <v>114</v>
      </c>
      <c r="M5" s="5" t="s">
        <v>175</v>
      </c>
      <c r="N5" s="35"/>
    </row>
    <row r="6" spans="2:15" ht="42" x14ac:dyDescent="0.35">
      <c r="B6" s="9">
        <f t="shared" si="0"/>
        <v>5</v>
      </c>
      <c r="C6" s="5" t="s">
        <v>170</v>
      </c>
      <c r="D6" s="6">
        <v>44743</v>
      </c>
      <c r="E6" s="5" t="s">
        <v>278</v>
      </c>
      <c r="F6" s="16" t="s">
        <v>14</v>
      </c>
      <c r="G6" s="19" t="s">
        <v>171</v>
      </c>
      <c r="H6" s="10" t="s">
        <v>172</v>
      </c>
      <c r="I6" s="8" t="s">
        <v>279</v>
      </c>
      <c r="J6" s="9" t="s">
        <v>19</v>
      </c>
      <c r="K6" s="8" t="s">
        <v>177</v>
      </c>
      <c r="L6" s="9" t="s">
        <v>114</v>
      </c>
      <c r="M6" s="31"/>
      <c r="N6" s="35"/>
      <c r="O6" s="11"/>
    </row>
    <row r="7" spans="2:15" ht="56" x14ac:dyDescent="0.35">
      <c r="B7" s="9">
        <f t="shared" si="0"/>
        <v>6</v>
      </c>
      <c r="C7" s="5" t="s">
        <v>317</v>
      </c>
      <c r="D7" s="6">
        <v>45017</v>
      </c>
      <c r="E7" s="12" t="s">
        <v>14</v>
      </c>
      <c r="F7" s="5" t="s">
        <v>318</v>
      </c>
      <c r="G7" s="8" t="s">
        <v>319</v>
      </c>
      <c r="H7" s="12" t="s">
        <v>44</v>
      </c>
      <c r="I7" s="8" t="s">
        <v>320</v>
      </c>
      <c r="J7" s="9" t="s">
        <v>140</v>
      </c>
      <c r="K7" s="9" t="s">
        <v>174</v>
      </c>
      <c r="L7" s="9" t="s">
        <v>114</v>
      </c>
      <c r="M7" s="8" t="s">
        <v>321</v>
      </c>
      <c r="N7" s="35"/>
    </row>
    <row r="8" spans="2:15" ht="56" x14ac:dyDescent="0.35">
      <c r="B8" s="9">
        <f t="shared" si="0"/>
        <v>7</v>
      </c>
      <c r="C8" s="5" t="s">
        <v>317</v>
      </c>
      <c r="D8" s="6">
        <v>45017</v>
      </c>
      <c r="E8" s="12" t="s">
        <v>14</v>
      </c>
      <c r="F8" s="5" t="s">
        <v>322</v>
      </c>
      <c r="G8" s="8" t="s">
        <v>319</v>
      </c>
      <c r="H8" s="12" t="s">
        <v>44</v>
      </c>
      <c r="I8" s="8" t="s">
        <v>323</v>
      </c>
      <c r="J8" s="9" t="s">
        <v>140</v>
      </c>
      <c r="K8" s="9" t="s">
        <v>174</v>
      </c>
      <c r="L8" s="9" t="s">
        <v>114</v>
      </c>
      <c r="M8" s="8" t="s">
        <v>321</v>
      </c>
      <c r="N8" s="35"/>
    </row>
    <row r="9" spans="2:15" ht="56" x14ac:dyDescent="0.35">
      <c r="B9" s="9">
        <f t="shared" si="0"/>
        <v>8</v>
      </c>
      <c r="C9" s="5" t="s">
        <v>317</v>
      </c>
      <c r="D9" s="6">
        <v>45017</v>
      </c>
      <c r="E9" s="12" t="s">
        <v>14</v>
      </c>
      <c r="F9" s="5" t="s">
        <v>324</v>
      </c>
      <c r="G9" s="8" t="s">
        <v>319</v>
      </c>
      <c r="H9" s="12" t="s">
        <v>44</v>
      </c>
      <c r="I9" s="8" t="s">
        <v>325</v>
      </c>
      <c r="J9" s="9" t="s">
        <v>140</v>
      </c>
      <c r="K9" s="9" t="s">
        <v>326</v>
      </c>
      <c r="L9" s="9" t="s">
        <v>114</v>
      </c>
      <c r="M9" s="8" t="s">
        <v>321</v>
      </c>
      <c r="N9" s="35"/>
    </row>
    <row r="10" spans="2:15" ht="56" x14ac:dyDescent="0.35">
      <c r="B10" s="9">
        <f t="shared" si="0"/>
        <v>9</v>
      </c>
      <c r="C10" s="5" t="s">
        <v>327</v>
      </c>
      <c r="D10" s="6">
        <v>45017</v>
      </c>
      <c r="E10" s="12" t="s">
        <v>14</v>
      </c>
      <c r="F10" s="5" t="s">
        <v>324</v>
      </c>
      <c r="G10" s="8" t="s">
        <v>328</v>
      </c>
      <c r="H10" s="12" t="s">
        <v>44</v>
      </c>
      <c r="I10" s="8" t="s">
        <v>329</v>
      </c>
      <c r="J10" s="9" t="s">
        <v>330</v>
      </c>
      <c r="K10" s="9" t="s">
        <v>326</v>
      </c>
      <c r="L10" s="9" t="s">
        <v>114</v>
      </c>
      <c r="M10" s="31"/>
      <c r="N10" s="35"/>
      <c r="O10" s="11"/>
    </row>
    <row r="11" spans="2:15" ht="84" x14ac:dyDescent="0.35">
      <c r="B11" s="9">
        <f t="shared" si="0"/>
        <v>10</v>
      </c>
      <c r="C11" s="16" t="s">
        <v>456</v>
      </c>
      <c r="D11" s="41">
        <v>45474</v>
      </c>
      <c r="E11" s="12" t="s">
        <v>14</v>
      </c>
      <c r="F11" s="9" t="s">
        <v>145</v>
      </c>
      <c r="G11" s="12" t="s">
        <v>457</v>
      </c>
      <c r="H11" s="12"/>
      <c r="I11" s="10" t="s">
        <v>460</v>
      </c>
      <c r="J11" s="9" t="s">
        <v>330</v>
      </c>
      <c r="K11" s="9" t="s">
        <v>372</v>
      </c>
      <c r="L11" s="9" t="s">
        <v>458</v>
      </c>
      <c r="M11" s="9"/>
      <c r="N11" s="35"/>
      <c r="O11" s="43"/>
    </row>
    <row r="12" spans="2:15" ht="84" x14ac:dyDescent="0.35">
      <c r="B12" s="9">
        <f t="shared" si="0"/>
        <v>11</v>
      </c>
      <c r="C12" s="16" t="s">
        <v>456</v>
      </c>
      <c r="D12" s="41">
        <v>45474</v>
      </c>
      <c r="E12" s="12" t="s">
        <v>14</v>
      </c>
      <c r="F12" s="9" t="s">
        <v>124</v>
      </c>
      <c r="G12" s="12" t="s">
        <v>457</v>
      </c>
      <c r="H12" s="12"/>
      <c r="I12" s="10" t="s">
        <v>461</v>
      </c>
      <c r="J12" s="9" t="s">
        <v>330</v>
      </c>
      <c r="K12" s="9" t="s">
        <v>372</v>
      </c>
      <c r="L12" s="9" t="s">
        <v>458</v>
      </c>
      <c r="M12" s="9"/>
      <c r="N12" s="35"/>
      <c r="O12" s="43"/>
    </row>
    <row r="13" spans="2:15" ht="84" x14ac:dyDescent="0.35">
      <c r="B13" s="9">
        <f t="shared" si="0"/>
        <v>12</v>
      </c>
      <c r="C13" s="16" t="s">
        <v>456</v>
      </c>
      <c r="D13" s="41">
        <v>45474</v>
      </c>
      <c r="E13" s="12" t="s">
        <v>14</v>
      </c>
      <c r="F13" s="9" t="s">
        <v>176</v>
      </c>
      <c r="G13" s="12" t="s">
        <v>457</v>
      </c>
      <c r="H13" s="12"/>
      <c r="I13" s="10" t="s">
        <v>462</v>
      </c>
      <c r="J13" s="9" t="s">
        <v>330</v>
      </c>
      <c r="K13" s="9" t="s">
        <v>372</v>
      </c>
      <c r="L13" s="9" t="s">
        <v>459</v>
      </c>
      <c r="M13" s="9"/>
      <c r="N13" s="42"/>
      <c r="O13" s="44"/>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4"/>
  <sheetViews>
    <sheetView workbookViewId="0">
      <selection activeCell="B5" sqref="B5"/>
    </sheetView>
  </sheetViews>
  <sheetFormatPr defaultRowHeight="14.5" x14ac:dyDescent="0.35"/>
  <sheetData>
    <row r="2" spans="2:2" x14ac:dyDescent="0.35">
      <c r="B2" t="s">
        <v>38</v>
      </c>
    </row>
    <row r="3" spans="2:2" x14ac:dyDescent="0.35">
      <c r="B3" t="s">
        <v>39</v>
      </c>
    </row>
    <row r="4" spans="2:2" x14ac:dyDescent="0.35">
      <c r="B4"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External - Live</vt:lpstr>
      <vt:lpstr>NDA</vt:lpstr>
      <vt:lpstr>Distribution </vt:lpstr>
      <vt:lpstr>Internal (Refer only)</vt:lpstr>
      <vt:lpstr>External - Old</vt:lpstr>
      <vt:lpstr>Internal - Old</vt:lpstr>
      <vt:lpstr>Input Sheet</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2026-06-22T12:00:51Z</dcterms:modified>
</cp:coreProperties>
</file>